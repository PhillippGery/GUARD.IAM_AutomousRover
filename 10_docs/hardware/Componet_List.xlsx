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lippgery/Development/GUARD.IAM_AutomousRover/10_docs/hardware/"/>
    </mc:Choice>
  </mc:AlternateContent>
  <xr:revisionPtr revIDLastSave="0" documentId="8_{BD2CE37B-328D-BA4E-B4C0-98F2FB7B9429}" xr6:coauthVersionLast="47" xr6:coauthVersionMax="47" xr10:uidLastSave="{00000000-0000-0000-0000-000000000000}"/>
  <bookViews>
    <workbookView xWindow="0" yWindow="500" windowWidth="30240" windowHeight="18820" xr2:uid="{00000000-000D-0000-FFFF-FFFF00000000}"/>
  </bookViews>
  <sheets>
    <sheet name="BUYSheet" sheetId="1" r:id="rId1"/>
    <sheet name="ToDo" sheetId="8" r:id="rId2"/>
    <sheet name="3D Printing" sheetId="7" r:id="rId3"/>
    <sheet name="ElectricalPower" sheetId="2" r:id="rId4"/>
    <sheet name="Wire diments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8" l="1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6" i="8"/>
  <c r="F5" i="8"/>
  <c r="F3" i="8"/>
  <c r="F2" i="8"/>
  <c r="G25" i="1"/>
  <c r="G24" i="1"/>
  <c r="G27" i="1"/>
  <c r="G28" i="1"/>
  <c r="G29" i="1"/>
  <c r="G30" i="1"/>
  <c r="G31" i="1"/>
  <c r="G32" i="1"/>
  <c r="G33" i="1"/>
  <c r="G34" i="1"/>
  <c r="G35" i="1"/>
  <c r="G36" i="1"/>
  <c r="G37" i="1"/>
  <c r="G42" i="1"/>
  <c r="G46" i="1"/>
  <c r="G47" i="1"/>
  <c r="G48" i="1"/>
  <c r="G49" i="1"/>
  <c r="G50" i="1"/>
  <c r="G51" i="1"/>
  <c r="G52" i="1"/>
  <c r="G53" i="1"/>
  <c r="G54" i="1"/>
  <c r="G55" i="1"/>
  <c r="G56" i="1"/>
  <c r="G57" i="1"/>
  <c r="G41" i="1"/>
  <c r="G43" i="1"/>
  <c r="G38" i="1"/>
  <c r="G39" i="1"/>
  <c r="G40" i="1"/>
  <c r="J44" i="1"/>
  <c r="G22" i="1"/>
  <c r="G26" i="1"/>
  <c r="G59" i="1"/>
  <c r="G60" i="1"/>
  <c r="G61" i="1"/>
  <c r="J16" i="1"/>
  <c r="J59" i="1"/>
  <c r="J60" i="1"/>
  <c r="J61" i="1"/>
  <c r="G7" i="1"/>
  <c r="G8" i="1"/>
  <c r="G9" i="1"/>
  <c r="G10" i="1"/>
  <c r="G20" i="1"/>
  <c r="G19" i="1"/>
  <c r="G18" i="1"/>
  <c r="G17" i="1"/>
  <c r="G16" i="1"/>
  <c r="G15" i="1"/>
  <c r="G11" i="1"/>
  <c r="I20" i="2"/>
  <c r="H20" i="2"/>
  <c r="G6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<sst xmlns="http://schemas.openxmlformats.org/spreadsheetml/2006/main" count="563" uniqueCount="369">
  <si>
    <t>GUARD.IAM 2.0 Componets List New Parts</t>
  </si>
  <si>
    <t>Component</t>
  </si>
  <si>
    <t>Usage</t>
  </si>
  <si>
    <t>Buy Link</t>
  </si>
  <si>
    <t>Amount</t>
  </si>
  <si>
    <t>Price/piece</t>
  </si>
  <si>
    <t>Total</t>
  </si>
  <si>
    <t>Ordered</t>
  </si>
  <si>
    <t>Date</t>
  </si>
  <si>
    <t>Delivered</t>
  </si>
  <si>
    <t>Justification</t>
  </si>
  <si>
    <t>Motors</t>
  </si>
  <si>
    <t>BLDC Motor</t>
  </si>
  <si>
    <t>https://www.phidgets.com/?prodid=1277#Tab_Description</t>
  </si>
  <si>
    <t>NEMA23 BLDC with 23:1 gearbox; 5.0 Nm output gives 2.13× stall margin for 18 kg mecanum rover.</t>
  </si>
  <si>
    <t>BLDC Driver</t>
  </si>
  <si>
    <t>https://www.phidgets.com/?prodid=1334</t>
  </si>
  <si>
    <t>Phidgets DCC1120 matched to NEMA23; closed-loop torque control, 30V/50A rating, 8–30V input suits 6S LiPo.</t>
  </si>
  <si>
    <t>VIN Hub</t>
  </si>
  <si>
    <t>https://www.phidgets.com/?prodid=1289#Tab_Description</t>
  </si>
  <si>
    <t>Phidgets VINT Hub aggregates four DCC1120 motor controllers onto single USB interface for centralized rover control.</t>
  </si>
  <si>
    <t>Motor Mounting Bracket</t>
  </si>
  <si>
    <t>https://www.phidgets.com/?prodid=358</t>
  </si>
  <si>
    <t>NEMA23 bracket secures each BLDC motor to 3030 extrusion chassis; maintains shaft alignment under load.</t>
  </si>
  <si>
    <t>Phidget Cable</t>
  </si>
  <si>
    <t>https://www.phidgets.com/?prodid=1152</t>
  </si>
  <si>
    <t>Proprietary VINT cable connecting DCC1120 controllers to VINT Hub; no third-party alternative exists.</t>
  </si>
  <si>
    <t>Tax and Import Fees</t>
  </si>
  <si>
    <t>Customs duties and import taxes on internationally sourced Phidgets motor and controller components.</t>
  </si>
  <si>
    <t>Shipping</t>
  </si>
  <si>
    <t>PowerSupply</t>
  </si>
  <si>
    <t>120W Buck Converter</t>
  </si>
  <si>
    <t>Power Supply LeRobots</t>
  </si>
  <si>
    <t>https://www.ebay.com/itm/377218636750?chn=ps&amp;norover=1&amp;mkevt=1&amp;mkrid=711-166974-028196-7&amp;mkcid=2&amp;mkscid=101&amp;itemid=377218636750&amp;targetid=2274951440814&amp;device=c&amp;mktype=pla_with_promotion&amp;googleloc=9016722&amp;poi=&amp;campaignid=23919180199&amp;mkgroupid=202907208211&amp;rlsatarget=pla-2274951440814&amp;abcId=10729771&amp;merchantid=5785102944&amp;geoid=9016722&amp;gad_source=1&amp;gad_campaignid=23919180199&amp;gbraid=0AAAAAD_QDh-P4jhleldk4VloXtDlp9cji&amp;gclid=CjwKCAjw3ejRBhAdEiwADkqPn8PTlhVm8a4VWXO2eQnNUB42BWNIHEt-cRDCs5dJbVjO3l6Aklh4sxoCoTQQAvD_BwE</t>
  </si>
  <si>
    <t>Buck Convertor For 24V to 12V, 120W</t>
  </si>
  <si>
    <t>Buck Converter DCDC 24/19</t>
  </si>
  <si>
    <t>AMD Mini PC</t>
  </si>
  <si>
    <t>https://www.digikey.com/en/products/detail/tdk-lambda/I7C08A-C03-EVK-S1/11697404?s=N4IgTCBcDaIJYHYDCAGAHAQQLSoMxYFEA1AaSwGUBGAAhAF0BfIA</t>
  </si>
  <si>
    <t>24V-to-19V DC-DC step-down converter supplying regulated 19V rail to AMD MiniPC; 20A/380W capacity supports compute peak loads.</t>
  </si>
  <si>
    <t>Fuse Box(Motors)</t>
  </si>
  <si>
    <t>https://a.co/d/07dFYWlr</t>
  </si>
  <si>
    <t>Fuse Box to Protect Circuits</t>
  </si>
  <si>
    <t>Midi Fuses 30A</t>
  </si>
  <si>
    <t>https://a.co/d/05bscNKd</t>
  </si>
  <si>
    <t>Per-rail protection for 12V arm and compute rails against short circuit faults.</t>
  </si>
  <si>
    <t>Midi Fuses 50A</t>
  </si>
  <si>
    <t>https://a.co/d/03pnJDRO</t>
  </si>
  <si>
    <t>Main motor rail fuse — 4x motors at peak draw require 50A protection.</t>
  </si>
  <si>
    <t>ATO/ATC Fuses 15A</t>
  </si>
  <si>
    <t>https://a.co/d/015UqjOZ</t>
  </si>
  <si>
    <t>Branch circuit protection for 5V logic rail powering sensors and ESP32-S3.</t>
  </si>
  <si>
    <t>Main Fuse Box</t>
  </si>
  <si>
    <t>https://a.co/d/03x5xjAN</t>
  </si>
  <si>
    <t>BLOCKED</t>
  </si>
  <si>
    <t>Central fuse distribution point for all power rails from the battery bus.</t>
  </si>
  <si>
    <t>New Main Fuse Block</t>
  </si>
  <si>
    <t>https://a.co/d/08hmF9rF</t>
  </si>
  <si>
    <t>MEGA 200A Fuses</t>
  </si>
  <si>
    <t>https://www.amazon.com/dp/B0BLR88HLS?_encoding=UTF8&amp;psc=1&amp;ref_=cm_sw_r_cp_ud_dp_4CWKATJSX0HQ7C9FSVZZ</t>
  </si>
  <si>
    <t>Primary battery protection — disconnects entire system on catastrophic short circuit.</t>
  </si>
  <si>
    <t>Mega 200A Fuses</t>
  </si>
  <si>
    <t>https://a.co/d/0hKsrofJ</t>
  </si>
  <si>
    <t>Mega 100A Fuses</t>
  </si>
  <si>
    <t>https://a.co/d/0jlle80q</t>
  </si>
  <si>
    <t>ATO 10A Fuses</t>
  </si>
  <si>
    <t>https://a.co/d/0cPtuMKx</t>
  </si>
  <si>
    <t>Per-motor slow-blow fuse protecting individual motor circuits at 10A continuous rating.</t>
  </si>
  <si>
    <t>16 AWG Wires</t>
  </si>
  <si>
    <t>https://a.co/d/0dDEyWty</t>
  </si>
  <si>
    <t>6 AWG Wires</t>
  </si>
  <si>
    <t>https://a.co/d/0fot1dfn</t>
  </si>
  <si>
    <t>Wires for connecting battery to distro</t>
  </si>
  <si>
    <t>New Main Switch</t>
  </si>
  <si>
    <t>https://a.co/d/0ao8UDSx</t>
  </si>
  <si>
    <t>Emergency power cutoff for safe rover shutdown during operation or maintenance.</t>
  </si>
  <si>
    <t>Fuse Box(Arm and PC)*New</t>
  </si>
  <si>
    <t>https://a.co/d/0dMR5IC6</t>
  </si>
  <si>
    <t>Separate fuse distribution for compute and arm rails, isolated from motor rail.</t>
  </si>
  <si>
    <t>Main Switch</t>
  </si>
  <si>
    <t>https://a.co/d/0dMIwF8o</t>
  </si>
  <si>
    <t>Fuse Box(Arm and PC)</t>
  </si>
  <si>
    <t>https://a.co/d/08JEkI1R</t>
  </si>
  <si>
    <t>ATO 15A Fuses</t>
  </si>
  <si>
    <t>Branch protection for 12V arm rail — two SO-101 arms draw up to 15A combined.</t>
  </si>
  <si>
    <t>DCDC Cables Mini PC</t>
  </si>
  <si>
    <t>AMD Mini PC connectior</t>
  </si>
  <si>
    <t>https://a.co/d/05idmL7c</t>
  </si>
  <si>
    <t>DC barrel jack cable connecting 19V buck converter output to AMD MiniPC input.</t>
  </si>
  <si>
    <t xml:space="preserve">Battery Cables 8 AWG </t>
  </si>
  <si>
    <t>https://a.co/d/03xv7cO8</t>
  </si>
  <si>
    <t>Main battery bus wiring rated for up to 200A peak motor curre</t>
  </si>
  <si>
    <t xml:space="preserve">Battery Cables 14 AWG </t>
  </si>
  <si>
    <t>https://a.co/d/0aQKZhma</t>
  </si>
  <si>
    <t>Logic rail wiring for low-current 5V sensor and ESP32 power distribution.</t>
  </si>
  <si>
    <t>https://a.co/d/08zSQsqp</t>
  </si>
  <si>
    <t>Main battery bus wiring rated for up to 200A peak motor current.</t>
  </si>
  <si>
    <t xml:space="preserve">10 AWG Battery Cables </t>
  </si>
  <si>
    <t>https://a.co/d/0egGaLfo</t>
  </si>
  <si>
    <t>Secondary rail wiring for compute and arm power distribution.</t>
  </si>
  <si>
    <t>Battery Cables 14 AWG</t>
  </si>
  <si>
    <t>https://a.co/d/08KGpLxa</t>
  </si>
  <si>
    <t>Smoothing Capacitor Bulk</t>
  </si>
  <si>
    <t>https://a.co/d/0h1wA600</t>
  </si>
  <si>
    <t>To smooth out the ripple voltage</t>
  </si>
  <si>
    <t>Smoothing Capacitor Bypass</t>
  </si>
  <si>
    <t>https://a.co/d/03rkrYV2</t>
  </si>
  <si>
    <t>Filters high-frequency switching noise from buck converter output protecting MiniPC CPU.</t>
  </si>
  <si>
    <t>DIN Rail Terminal Block</t>
  </si>
  <si>
    <t>https://a.co/d/0iuMt1o2</t>
  </si>
  <si>
    <t>Screw-clamp terminal blocks for organized wire distribution on DIN rail; simplifies power bus wiring and maintenance.</t>
  </si>
  <si>
    <t>PT 2.5 Terminal Block Kit ↵</t>
  </si>
  <si>
    <t>https://a.co/d/08QZA3Kx</t>
  </si>
  <si>
    <t>Cable Management Raceway</t>
  </si>
  <si>
    <t>https://a.co/d/0hYVZWZk</t>
  </si>
  <si>
    <t>Slotted cable raceway for routing and protecting internal wiring; prevents cable fatigue from rover vibration.</t>
  </si>
  <si>
    <t>Mechanical Parts</t>
  </si>
  <si>
    <t>Aluminum Alloy Flange Coupling</t>
  </si>
  <si>
    <t>https://a.co/d/01OGiXPe</t>
  </si>
  <si>
    <t>Coupling for Wheels</t>
  </si>
  <si>
    <t>1010 Series Aluminum Extrusion Connector 30 set</t>
  </si>
  <si>
    <t>https://a.co/d/04I6DR4z</t>
  </si>
  <si>
    <t>T-slot connectors for joining 1010/3030 aluminum extrusion members into rigid rover chassis structure.</t>
  </si>
  <si>
    <t>3-Way End Corner 8pcs</t>
  </si>
  <si>
    <t>https://a.co/d/03wzFnDJ</t>
  </si>
  <si>
    <t>Three-axis corner brackets for 3030 extrusion; enable rigid 90° joints at chassis frame corners.</t>
  </si>
  <si>
    <t>Electrical Box 12 x 8 x 6</t>
  </si>
  <si>
    <t>https://a.co/d/0eivdwFn</t>
  </si>
  <si>
    <t>NEMA-rated weatherproof enclosure housing power electronics and controllers; protects against dust and moisture outdoors.</t>
  </si>
  <si>
    <t xml:space="preserve"> 8 Inch Aluminum DIN Rails</t>
  </si>
  <si>
    <t>https://a.co/d/06vvXAJK</t>
  </si>
  <si>
    <t>Standard DIN rails for mounting terminal blocks and power components inside the rover electrical enclosure.</t>
  </si>
  <si>
    <t>M6 Screws with Nuts kit</t>
  </si>
  <si>
    <t>https://a.co/d/0ieLppbD</t>
  </si>
  <si>
    <t>General-purpose M6 fastener kit for chassis assembly; thread pitch compatible with 30-series T-slot hardware.</t>
  </si>
  <si>
    <t>M6x12 Bolt 80 pcs</t>
  </si>
  <si>
    <t>https://a.co/d/08riY8Qj</t>
  </si>
  <si>
    <t>M6×12 bolts for securing extrusion brackets and motor mounts; 12mm length suits 30-series slot depth.</t>
  </si>
  <si>
    <t xml:space="preserve">M6x16 Bolt  </t>
  </si>
  <si>
    <t>https://a.co/d/08Fm3QJV</t>
  </si>
  <si>
    <t>10 Series M6 T-Slot Slide Nuts ↵</t>
  </si>
  <si>
    <t>https://a.co/d/083jHXEq</t>
  </si>
  <si>
    <t>Slide-in T-nuts for 10-series extrusion slots; allow repositionable mounting of brackets and sensor plates.</t>
  </si>
  <si>
    <t>1Pole 10Amp Breakers</t>
  </si>
  <si>
    <t>https://a.co/d/03Tl3CyI</t>
  </si>
  <si>
    <t>Resettable branch protection for the Mini PC DC-DC converter and 24V-to-12V arm power converter.</t>
  </si>
  <si>
    <t>1Pole 32Amp Breakers</t>
  </si>
  <si>
    <t>https://a.co/d/05fNQzlp</t>
  </si>
  <si>
    <t>Individual battery output protection before each battery connects to the shared DC bus.</t>
  </si>
  <si>
    <t>2 NC Red Emergency Stop Push Buttons</t>
  </si>
  <si>
    <t>https://a.co/d/08h5XGWf</t>
  </si>
  <si>
    <t>Normally-closed emergency stop inputs for safely cutting rover power during operation, testing, or maintenance.</t>
  </si>
  <si>
    <t>Miscellaneous</t>
  </si>
  <si>
    <t>mixed Metal Parts/ Screwy</t>
  </si>
  <si>
    <t>Assorted metal hardware (standoffs, spacers, washers) for general chassis assembly and component mounting.</t>
  </si>
  <si>
    <t>Mixed Electric Parts//sockets</t>
  </si>
  <si>
    <t>Assorted connectors, terminals, and sockets for wiring motor controllers, sensors, and compute modules.</t>
  </si>
  <si>
    <t>Mixed Cables</t>
  </si>
  <si>
    <t>Bulk signal and power cables for internal rover wiring between controllers, sensors, and compute stack.</t>
  </si>
  <si>
    <t>✓</t>
  </si>
  <si>
    <t>Task</t>
  </si>
  <si>
    <t>Assigned To</t>
  </si>
  <si>
    <t>Date Assigned</t>
  </si>
  <si>
    <t>Due Date</t>
  </si>
  <si>
    <t>Status</t>
  </si>
  <si>
    <t>Priority</t>
  </si>
  <si>
    <t>Notes</t>
  </si>
  <si>
    <t>Order  components</t>
  </si>
  <si>
    <t>Phillipp</t>
  </si>
  <si>
    <t>High</t>
  </si>
  <si>
    <t>Check BUYSheet for quantities</t>
  </si>
  <si>
    <t>Review schematic</t>
  </si>
  <si>
    <t>Piere</t>
  </si>
  <si>
    <t>Medium</t>
  </si>
  <si>
    <t>Update BOM list</t>
  </si>
  <si>
    <t>—</t>
  </si>
  <si>
    <t>Low</t>
  </si>
  <si>
    <t>Completed</t>
  </si>
  <si>
    <t>Design 3D printed</t>
  </si>
  <si>
    <t>Victor</t>
  </si>
  <si>
    <t>See 3D Printing sheet</t>
  </si>
  <si>
    <t>cut Profiles</t>
  </si>
  <si>
    <t>vedant</t>
  </si>
  <si>
    <t>Restructure ROS2 repo + add README to each package</t>
  </si>
  <si>
    <t>SOFTWARE</t>
  </si>
  <si>
    <t>Update Gazebo sim with new URDF</t>
  </si>
  <si>
    <t>Swap Nav2 controller to DWB (holonomic mecanum)</t>
  </si>
  <si>
    <t>SLAM mapping mode + map save</t>
  </si>
  <si>
    <t>AMCL localization on saved map</t>
  </si>
  <si>
    <t>Sim/real single launch file (use_sim:=true/false)</t>
  </si>
  <si>
    <t>Camera integration (D435i or T265 Python driver)</t>
  </si>
  <si>
    <t>EKF node (encoders + camera)</t>
  </si>
  <si>
    <t>LIDAR arm masking node update</t>
  </si>
  <si>
    <t>Test full autonomous navigation in sim</t>
  </si>
  <si>
    <t>ACT bimanual manipulation integration</t>
  </si>
  <si>
    <t>Sim-to-real transfer test</t>
  </si>
  <si>
    <t>Export rover to URDF (fusion2urdf or equivalent)</t>
  </si>
  <si>
    <t>CAD</t>
  </si>
  <si>
    <t>Separate STL per link + sensor frame positions</t>
  </si>
  <si>
    <t>Document exact dimensions and coordinate frames</t>
  </si>
  <si>
    <t>ROS2 motor driver node: subscribe to wheel RPM per motor topic, send commands to Phidgets DCC1120 via VINT Hub</t>
  </si>
  <si>
    <t>Vedant</t>
  </si>
  <si>
    <t>LOW LEVEL</t>
  </si>
  <si>
    <t>Publish /odom from encoder feedback at 50Hz</t>
  </si>
  <si>
    <t>3D Printing Tracker</t>
  </si>
  <si>
    <t>Part Name</t>
  </si>
  <si>
    <t>Design Status</t>
  </si>
  <si>
    <t xml:space="preserve">Pinted </t>
  </si>
  <si>
    <t>Quantity</t>
  </si>
  <si>
    <t>Material</t>
  </si>
  <si>
    <t>Color</t>
  </si>
  <si>
    <t>Support Needed?</t>
  </si>
  <si>
    <t>Support Type</t>
  </si>
  <si>
    <t>Wall number</t>
  </si>
  <si>
    <t>Top / Bottom Layers</t>
  </si>
  <si>
    <t>Infill %</t>
  </si>
  <si>
    <t>Layer Height (mm)</t>
  </si>
  <si>
    <t>Orientation Photo</t>
  </si>
  <si>
    <t>Files</t>
  </si>
  <si>
    <t>motor_driver_holder</t>
  </si>
  <si>
    <t>Final</t>
  </si>
  <si>
    <t>ABS</t>
  </si>
  <si>
    <t>Any</t>
  </si>
  <si>
    <t>Yes</t>
  </si>
  <si>
    <t>Tree</t>
  </si>
  <si>
    <t>default</t>
  </si>
  <si>
    <t>Please print one of it to check if that fits with motor</t>
  </si>
  <si>
    <t>SO101_base</t>
  </si>
  <si>
    <t>Iterating</t>
  </si>
  <si>
    <t>print v2</t>
  </si>
  <si>
    <t>Lidar_mount</t>
  </si>
  <si>
    <t>PLA</t>
  </si>
  <si>
    <t>Black</t>
  </si>
  <si>
    <t>No</t>
  </si>
  <si>
    <t>None</t>
  </si>
  <si>
    <t>Lidar_mount_v1</t>
  </si>
  <si>
    <t>DIN_PC_convertor</t>
  </si>
  <si>
    <t>Fit check</t>
  </si>
  <si>
    <t>No support needed</t>
  </si>
  <si>
    <t>DIN_robot_convertor</t>
  </si>
  <si>
    <t>Cover_FR</t>
  </si>
  <si>
    <t>FR</t>
  </si>
  <si>
    <t>Blocker: Lidar_mount</t>
  </si>
  <si>
    <t>Cover_FL</t>
  </si>
  <si>
    <t>FL</t>
  </si>
  <si>
    <t>Cover_RR</t>
  </si>
  <si>
    <t>RR</t>
  </si>
  <si>
    <t>Cover_RL</t>
  </si>
  <si>
    <t>RL</t>
  </si>
  <si>
    <t>Cover_Middle</t>
  </si>
  <si>
    <t>On hold</t>
  </si>
  <si>
    <t>Model</t>
  </si>
  <si>
    <t>Input Voltage</t>
  </si>
  <si>
    <t>Voltage Range</t>
  </si>
  <si>
    <t>Idle Power (W)</t>
  </si>
  <si>
    <t>Typical Power (W)</t>
  </si>
  <si>
    <t>Peak Power (W)</t>
  </si>
  <si>
    <t>Peak Current (A)</t>
  </si>
  <si>
    <t>Interface</t>
  </si>
  <si>
    <t>Rail</t>
  </si>
  <si>
    <t>Central Brain</t>
  </si>
  <si>
    <t>AMD Ryzen AI MiniPC (8845HS)</t>
  </si>
  <si>
    <t>19V DC</t>
  </si>
  <si>
    <t>15–20V</t>
  </si>
  <si>
    <t>DC barrel jack</t>
  </si>
  <si>
    <t>Compute</t>
  </si>
  <si>
    <t>Embedded Controller</t>
  </si>
  <si>
    <t>ESP32-S3</t>
  </si>
  <si>
    <t>3.3–5V</t>
  </si>
  <si>
    <t>3.0–5.5V</t>
  </si>
  <si>
    <t>USB / 3.3V</t>
  </si>
  <si>
    <t>Logic</t>
  </si>
  <si>
    <t>Drive Motor FL</t>
  </si>
  <si>
    <t>TBD BLDC ~5Nm</t>
  </si>
  <si>
    <t>12V</t>
  </si>
  <si>
    <t>20–28V</t>
  </si>
  <si>
    <t>PWM driver</t>
  </si>
  <si>
    <t>Motor</t>
  </si>
  <si>
    <t>Drive Motor FR</t>
  </si>
  <si>
    <t>Drive Motor BL</t>
  </si>
  <si>
    <t>Drive Motor BR</t>
  </si>
  <si>
    <t>Motor Controller x1</t>
  </si>
  <si>
    <t>TBD BLDC driver</t>
  </si>
  <si>
    <t>6-30V</t>
  </si>
  <si>
    <t>PWM signal</t>
  </si>
  <si>
    <t>Motor Controller x2</t>
  </si>
  <si>
    <t>Motor Controller x3</t>
  </si>
  <si>
    <t>Motor Controller x4</t>
  </si>
  <si>
    <t>2D LIDAR</t>
  </si>
  <si>
    <t>Scanse Sweep V1</t>
  </si>
  <si>
    <t>5V</t>
  </si>
  <si>
    <t>4.5–5.5V</t>
  </si>
  <si>
    <t>USB-Serial</t>
  </si>
  <si>
    <t>Depth Camera</t>
  </si>
  <si>
    <t>Intel RealSense D415</t>
  </si>
  <si>
    <t>5V USB</t>
  </si>
  <si>
    <t>4.75–5.25V</t>
  </si>
  <si>
    <t>USB 3.0</t>
  </si>
  <si>
    <t>Overhead Camera</t>
  </si>
  <si>
    <t>1080p USB PTZ</t>
  </si>
  <si>
    <t>USB</t>
  </si>
  <si>
    <t>Robotic Arm Left</t>
  </si>
  <si>
    <t>SO-101 Follower + Waveshare Board</t>
  </si>
  <si>
    <t>9–12V</t>
  </si>
  <si>
    <t>12V DC</t>
  </si>
  <si>
    <t>Arm</t>
  </si>
  <si>
    <t>Robotic Arm Right</t>
  </si>
  <si>
    <t>TOTAL</t>
  </si>
  <si>
    <t>Battery</t>
  </si>
  <si>
    <t>20000mah</t>
  </si>
  <si>
    <t>22.5V</t>
  </si>
  <si>
    <t>19-25V</t>
  </si>
  <si>
    <t>L=20cm</t>
  </si>
  <si>
    <t>B=9cm</t>
  </si>
  <si>
    <t>W=6cm</t>
  </si>
  <si>
    <t>XT90 Connector</t>
  </si>
  <si>
    <t>JST-XH</t>
  </si>
  <si>
    <t>Charger for said battery</t>
  </si>
  <si>
    <t>75-110$</t>
  </si>
  <si>
    <t>https://www.amazon.com/dp/B0DFJ3HVPC?ref=cm_sw_r_cso_wa_apin_dp_5HQAW2GZ9KR1WGNEH1YS&amp;ref_=cm_sw_r_cso_wa_apin_dp_5HQAW2GZ9KR1WGNEH1YS&amp;social_share=cm_sw_r_cso_wa_apin_dp_5HQAW2GZ9KR1WGNEH1YS</t>
  </si>
  <si>
    <t>Wire Reference Table — Rover Wiring</t>
  </si>
  <si>
    <t>AWG</t>
  </si>
  <si>
    <t>mm²</t>
  </si>
  <si>
    <t>Rated Current (A)</t>
  </si>
  <si>
    <t>Max Fuse (A)</t>
  </si>
  <si>
    <t>Resistance (Ω/m)</t>
  </si>
  <si>
    <t>Weight (g/m)</t>
  </si>
  <si>
    <t>Typical Rover Application</t>
  </si>
  <si>
    <t>Connector Type</t>
  </si>
  <si>
    <t>Low-power sensors, signal lines</t>
  </si>
  <si>
    <t>JST-PH, Molex Micro</t>
  </si>
  <si>
    <t>Sensors, LEDs, logic signals</t>
  </si>
  <si>
    <t>JST-XH, Molex KK</t>
  </si>
  <si>
    <t>Servos, small actuators, sensor buses</t>
  </si>
  <si>
    <t>JST-XH, Dupont</t>
  </si>
  <si>
    <t>Medium servos, relay coils, cameras</t>
  </si>
  <si>
    <t>Dupont, Molex Mini-Fit</t>
  </si>
  <si>
    <t>Small DC motors, ESCs, lighting</t>
  </si>
  <si>
    <t>XT30, Molex Mini-Fit</t>
  </si>
  <si>
    <t>Medium DC motors, high-power ESCs</t>
  </si>
  <si>
    <t>XT30, XT60</t>
  </si>
  <si>
    <t>Drive motors, power distribution</t>
  </si>
  <si>
    <t>XT60, Anderson PP15/30</t>
  </si>
  <si>
    <t>Main power bus, high-current motors</t>
  </si>
  <si>
    <t>XT60, Anderson PP30</t>
  </si>
  <si>
    <t>Battery to main bus, high-power drives</t>
  </si>
  <si>
    <t>XT60, Anderson PP45</t>
  </si>
  <si>
    <t>Battery pack connections, very high current</t>
  </si>
  <si>
    <t>XT90, Anderson SB50</t>
  </si>
  <si>
    <t>High-current motors, main bus</t>
  </si>
  <si>
    <t>Battery main feed, power distribution</t>
  </si>
  <si>
    <t>Anderson SB50, SB120</t>
  </si>
  <si>
    <t>High-power battery bus, inverters</t>
  </si>
  <si>
    <t>Anderson SB120, SB175</t>
  </si>
  <si>
    <t>Heavy-duty power bus</t>
  </si>
  <si>
    <t>Anderson SB175, SB350</t>
  </si>
  <si>
    <t>1/0</t>
  </si>
  <si>
    <t>Main battery cables, high-power bus</t>
  </si>
  <si>
    <t>2/0</t>
  </si>
  <si>
    <t>Main battery cables, bus bars</t>
  </si>
  <si>
    <t>Anderson SB350, bus bar</t>
  </si>
  <si>
    <t>3/0</t>
  </si>
  <si>
    <t>Very high current bus, battery packs</t>
  </si>
  <si>
    <t>Anderson SB350, bus bar lugs</t>
  </si>
  <si>
    <t>Source &amp; Notes:</t>
  </si>
  <si>
    <t>Handbook of Electronic Tables &amp; Formulas for AWG — via PowerStream.com (powerstream.com/Wire_Size.htm)</t>
  </si>
  <si>
    <t>Rated current = chassis wiring (single copper conductor, free air, 30°C ambient). Derate for bundled/conduit runs.</t>
  </si>
  <si>
    <t>Resistance values: copper at 20°C. Max Fuse = largest standard fuse size ≤ wire rated current.</t>
  </si>
  <si>
    <t>https://hep.physics.illinois.edu/home/serrede/p436/lecture_notes/american_wire_gauge.pdf</t>
  </si>
  <si>
    <t>uprigth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</si>
</sst>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"/>
    <numFmt numFmtId="165" formatCode="0.000"/>
    <numFmt numFmtId="166" formatCode="0.0"/>
    <numFmt numFmtId="167" formatCode="0.0000"/>
    <numFmt numFmtId="168" formatCode="0.00000"/>
    <numFmt numFmtId="169" formatCode="0.000000"/>
    <numFmt numFmtId="170" formatCode="mm/dd/yyyy"/>
  </numFmts>
  <fonts count="2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trike/>
      <sz val="11"/>
      <color theme="1"/>
      <name val="Calibri (Body)"/>
    </font>
    <font>
      <strike/>
      <u/>
      <sz val="11"/>
      <color theme="10"/>
      <name val="Calibri (Body)"/>
    </font>
    <font>
      <strike/>
      <sz val="11"/>
      <color rgb="FF000000"/>
      <name val="Calibri (Body)"/>
    </font>
    <font>
      <sz val="11"/>
      <color theme="1"/>
      <name val="Calibri (Body)"/>
    </font>
    <font>
      <strike/>
      <u/>
      <sz val="11"/>
      <color theme="10"/>
      <name val="Calibri"/>
      <family val="2"/>
      <scheme val="minor"/>
    </font>
    <font>
      <sz val="11"/>
      <color rgb="FF000000"/>
      <name val="Calibri (Body)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ptos"/>
    </font>
    <font>
      <sz val="14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strike/>
      <sz val="11"/>
      <color rgb="FFAAB7B8"/>
      <name val="Aptos"/>
    </font>
    <font>
      <b/>
      <strike/>
      <sz val="11"/>
      <color rgb="FFAAB7B8"/>
      <name val="Aptos"/>
    </font>
    <font>
      <sz val="11"/>
      <color rgb="FF000000"/>
      <name val="Aptos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8F9FA"/>
        <bgColor rgb="FF000000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000000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medium">
        <color rgb="FF2C3E50"/>
      </top>
      <bottom style="medium">
        <color rgb="FF1A252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C3E50"/>
      </bottom>
      <diagonal/>
    </border>
    <border>
      <left style="medium">
        <color rgb="FF2C3E50"/>
      </left>
      <right style="thin">
        <color rgb="FFD5D8DC"/>
      </right>
      <top style="medium">
        <color rgb="FF2C3E50"/>
      </top>
      <bottom style="medium">
        <color rgb="FF1A252F"/>
      </bottom>
      <diagonal/>
    </border>
    <border>
      <left style="medium">
        <color rgb="FF2C3E50"/>
      </left>
      <right style="thin">
        <color rgb="FFD5D8DC"/>
      </right>
      <top/>
      <bottom style="thin">
        <color rgb="FFD5D8DC"/>
      </bottom>
      <diagonal/>
    </border>
    <border>
      <left style="medium">
        <color rgb="FF2C3E50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2C3E50"/>
      </left>
      <right style="thin">
        <color rgb="FFD5D8DC"/>
      </right>
      <top style="thin">
        <color rgb="FFD5D8DC"/>
      </top>
      <bottom style="medium">
        <color rgb="FF2C3E50"/>
      </bottom>
      <diagonal/>
    </border>
    <border>
      <left style="thin">
        <color rgb="FFD5D8DC"/>
      </left>
      <right style="medium">
        <color rgb="FF2C3E50"/>
      </right>
      <top style="medium">
        <color rgb="FF2C3E50"/>
      </top>
      <bottom style="medium">
        <color rgb="FF1A252F"/>
      </bottom>
      <diagonal/>
    </border>
    <border>
      <left style="thin">
        <color rgb="FFD5D8DC"/>
      </left>
      <right style="medium">
        <color rgb="FF2C3E50"/>
      </right>
      <top/>
      <bottom style="thin">
        <color rgb="FFD5D8DC"/>
      </bottom>
      <diagonal/>
    </border>
    <border>
      <left style="thin">
        <color rgb="FFD5D8DC"/>
      </left>
      <right style="medium">
        <color rgb="FF2C3E50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medium">
        <color rgb="FF2C3E50"/>
      </right>
      <top style="thin">
        <color rgb="FFD5D8DC"/>
      </top>
      <bottom style="medium">
        <color rgb="FF2C3E5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3">
    <xf numFmtId="0" fontId="0" fillId="0" borderId="0" xfId="0"/>
    <xf numFmtId="164" fontId="0" fillId="0" borderId="0" xfId="0" applyNumberFormat="1"/>
    <xf numFmtId="0" fontId="3" fillId="0" borderId="0" xfId="1"/>
    <xf numFmtId="0" fontId="0" fillId="0" borderId="0" xfId="0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" fontId="2" fillId="0" borderId="0" xfId="0" applyNumberFormat="1" applyFont="1" applyAlignment="1">
      <alignment horizontal="left" vertical="center"/>
    </xf>
    <xf numFmtId="0" fontId="6" fillId="2" borderId="0" xfId="0" applyFont="1" applyFill="1"/>
    <xf numFmtId="0" fontId="6" fillId="0" borderId="0" xfId="0" applyFont="1"/>
    <xf numFmtId="0" fontId="6" fillId="2" borderId="0" xfId="0" applyFont="1" applyFill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8" fillId="0" borderId="0" xfId="0" applyFont="1"/>
    <xf numFmtId="14" fontId="0" fillId="0" borderId="0" xfId="0" applyNumberFormat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10" fillId="0" borderId="0" xfId="0" applyFont="1"/>
    <xf numFmtId="0" fontId="16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7" fontId="0" fillId="0" borderId="1" xfId="0" applyNumberFormat="1" applyBorder="1"/>
    <xf numFmtId="0" fontId="17" fillId="7" borderId="2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17" fillId="7" borderId="7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65" fontId="0" fillId="8" borderId="1" xfId="0" applyNumberFormat="1" applyFill="1" applyBorder="1"/>
    <xf numFmtId="166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167" fontId="0" fillId="8" borderId="1" xfId="0" applyNumberFormat="1" applyFill="1" applyBorder="1"/>
    <xf numFmtId="0" fontId="0" fillId="8" borderId="8" xfId="0" applyFill="1" applyBorder="1"/>
    <xf numFmtId="0" fontId="4" fillId="0" borderId="0" xfId="0" applyFont="1"/>
    <xf numFmtId="165" fontId="0" fillId="9" borderId="1" xfId="0" applyNumberFormat="1" applyFill="1" applyBorder="1"/>
    <xf numFmtId="166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8" xfId="0" applyFill="1" applyBorder="1"/>
    <xf numFmtId="0" fontId="0" fillId="8" borderId="1" xfId="0" applyFill="1" applyBorder="1"/>
    <xf numFmtId="0" fontId="0" fillId="9" borderId="1" xfId="0" applyFill="1" applyBorder="1"/>
    <xf numFmtId="165" fontId="0" fillId="8" borderId="3" xfId="0" applyNumberFormat="1" applyFill="1" applyBorder="1"/>
    <xf numFmtId="166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4" fillId="9" borderId="5" xfId="0" applyFont="1" applyFill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8" borderId="5" xfId="0" applyNumberFormat="1" applyFill="1" applyBorder="1" applyAlignment="1">
      <alignment horizontal="center"/>
    </xf>
    <xf numFmtId="49" fontId="0" fillId="8" borderId="6" xfId="0" applyNumberFormat="1" applyFill="1" applyBorder="1" applyAlignment="1">
      <alignment horizontal="center"/>
    </xf>
    <xf numFmtId="0" fontId="0" fillId="8" borderId="9" xfId="0" applyFill="1" applyBorder="1"/>
    <xf numFmtId="168" fontId="0" fillId="8" borderId="1" xfId="0" applyNumberFormat="1" applyFill="1" applyBorder="1"/>
    <xf numFmtId="168" fontId="0" fillId="0" borderId="1" xfId="0" applyNumberFormat="1" applyBorder="1"/>
    <xf numFmtId="169" fontId="0" fillId="9" borderId="1" xfId="0" applyNumberFormat="1" applyFill="1" applyBorder="1"/>
    <xf numFmtId="169" fontId="0" fillId="8" borderId="1" xfId="0" applyNumberFormat="1" applyFill="1" applyBorder="1"/>
    <xf numFmtId="169" fontId="0" fillId="8" borderId="3" xfId="0" applyNumberFormat="1" applyFill="1" applyBorder="1"/>
    <xf numFmtId="0" fontId="4" fillId="2" borderId="10" xfId="0" applyFont="1" applyFill="1" applyBorder="1"/>
    <xf numFmtId="0" fontId="0" fillId="2" borderId="10" xfId="0" applyFill="1" applyBorder="1"/>
    <xf numFmtId="164" fontId="0" fillId="2" borderId="10" xfId="0" applyNumberFormat="1" applyFill="1" applyBorder="1"/>
    <xf numFmtId="14" fontId="0" fillId="2" borderId="10" xfId="0" applyNumberFormat="1" applyFill="1" applyBorder="1" applyAlignment="1">
      <alignment horizontal="center"/>
    </xf>
    <xf numFmtId="0" fontId="4" fillId="2" borderId="11" xfId="0" applyFont="1" applyFill="1" applyBorder="1"/>
    <xf numFmtId="0" fontId="0" fillId="2" borderId="11" xfId="0" applyFill="1" applyBorder="1"/>
    <xf numFmtId="164" fontId="0" fillId="2" borderId="11" xfId="0" applyNumberFormat="1" applyFill="1" applyBorder="1"/>
    <xf numFmtId="14" fontId="0" fillId="2" borderId="11" xfId="0" applyNumberFormat="1" applyFill="1" applyBorder="1" applyAlignment="1">
      <alignment horizontal="center"/>
    </xf>
    <xf numFmtId="0" fontId="0" fillId="0" borderId="11" xfId="0" applyBorder="1"/>
    <xf numFmtId="0" fontId="3" fillId="0" borderId="11" xfId="1" applyBorder="1"/>
    <xf numFmtId="164" fontId="0" fillId="0" borderId="11" xfId="0" applyNumberFormat="1" applyBorder="1"/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1" xfId="0" applyNumberFormat="1" applyBorder="1" applyAlignment="1">
      <alignment horizontal="center"/>
    </xf>
    <xf numFmtId="164" fontId="0" fillId="0" borderId="1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wrapText="1"/>
    </xf>
    <xf numFmtId="0" fontId="0" fillId="0" borderId="12" xfId="0" applyBorder="1"/>
    <xf numFmtId="0" fontId="3" fillId="0" borderId="12" xfId="1" applyBorder="1"/>
    <xf numFmtId="164" fontId="0" fillId="0" borderId="12" xfId="0" applyNumberFormat="1" applyBorder="1"/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2" xfId="0" applyNumberFormat="1" applyBorder="1" applyAlignment="1">
      <alignment horizontal="center"/>
    </xf>
    <xf numFmtId="0" fontId="0" fillId="0" borderId="13" xfId="0" applyBorder="1"/>
    <xf numFmtId="0" fontId="3" fillId="0" borderId="13" xfId="1" applyBorder="1"/>
    <xf numFmtId="164" fontId="0" fillId="0" borderId="13" xfId="0" applyNumberFormat="1" applyBorder="1"/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wrapText="1"/>
    </xf>
    <xf numFmtId="0" fontId="9" fillId="0" borderId="11" xfId="0" applyFont="1" applyBorder="1"/>
    <xf numFmtId="0" fontId="5" fillId="0" borderId="12" xfId="0" applyFont="1" applyBorder="1"/>
    <xf numFmtId="0" fontId="9" fillId="0" borderId="12" xfId="0" applyFont="1" applyBorder="1"/>
    <xf numFmtId="0" fontId="5" fillId="0" borderId="13" xfId="0" applyFont="1" applyBorder="1"/>
    <xf numFmtId="0" fontId="9" fillId="0" borderId="13" xfId="0" applyFont="1" applyBorder="1"/>
    <xf numFmtId="0" fontId="10" fillId="0" borderId="1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3" xfId="0" applyFont="1" applyBorder="1"/>
    <xf numFmtId="0" fontId="11" fillId="0" borderId="13" xfId="1" applyFont="1" applyBorder="1"/>
    <xf numFmtId="164" fontId="10" fillId="0" borderId="13" xfId="0" applyNumberFormat="1" applyFont="1" applyBorder="1"/>
    <xf numFmtId="14" fontId="10" fillId="3" borderId="13" xfId="0" applyNumberFormat="1" applyFont="1" applyFill="1" applyBorder="1" applyAlignment="1">
      <alignment horizontal="center"/>
    </xf>
    <xf numFmtId="0" fontId="10" fillId="0" borderId="1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3" xfId="0" applyFont="1" applyBorder="1"/>
    <xf numFmtId="164" fontId="8" fillId="0" borderId="13" xfId="0" applyNumberFormat="1" applyFont="1" applyBorder="1"/>
    <xf numFmtId="0" fontId="13" fillId="0" borderId="13" xfId="0" applyFont="1" applyBorder="1"/>
    <xf numFmtId="0" fontId="8" fillId="0" borderId="12" xfId="0" applyFont="1" applyBorder="1"/>
    <xf numFmtId="0" fontId="8" fillId="0" borderId="13" xfId="0" applyFont="1" applyBorder="1"/>
    <xf numFmtId="0" fontId="14" fillId="0" borderId="13" xfId="1" applyFont="1" applyBorder="1"/>
    <xf numFmtId="0" fontId="8" fillId="0" borderId="1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13" xfId="0" applyFont="1" applyFill="1" applyBorder="1"/>
    <xf numFmtId="0" fontId="11" fillId="0" borderId="13" xfId="1" applyFont="1" applyFill="1" applyBorder="1"/>
    <xf numFmtId="14" fontId="13" fillId="5" borderId="13" xfId="0" applyNumberFormat="1" applyFont="1" applyFill="1" applyBorder="1" applyAlignment="1">
      <alignment horizontal="center"/>
    </xf>
    <xf numFmtId="0" fontId="0" fillId="6" borderId="12" xfId="0" applyFill="1" applyBorder="1"/>
    <xf numFmtId="0" fontId="0" fillId="6" borderId="13" xfId="0" applyFill="1" applyBorder="1"/>
    <xf numFmtId="0" fontId="15" fillId="0" borderId="13" xfId="0" applyFont="1" applyBorder="1"/>
    <xf numFmtId="0" fontId="0" fillId="4" borderId="12" xfId="0" applyFill="1" applyBorder="1"/>
    <xf numFmtId="14" fontId="0" fillId="4" borderId="12" xfId="0" applyNumberFormat="1" applyFill="1" applyBorder="1" applyAlignment="1">
      <alignment horizontal="center"/>
    </xf>
    <xf numFmtId="0" fontId="0" fillId="4" borderId="13" xfId="0" applyFill="1" applyBorder="1"/>
    <xf numFmtId="14" fontId="0" fillId="6" borderId="12" xfId="0" applyNumberFormat="1" applyFill="1" applyBorder="1" applyAlignment="1">
      <alignment horizontal="center"/>
    </xf>
    <xf numFmtId="0" fontId="8" fillId="0" borderId="11" xfId="0" applyFont="1" applyBorder="1"/>
    <xf numFmtId="0" fontId="18" fillId="10" borderId="16" xfId="0" applyFont="1" applyFill="1" applyBorder="1" applyAlignment="1">
      <alignment vertical="center"/>
    </xf>
    <xf numFmtId="0" fontId="18" fillId="10" borderId="16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18" fillId="10" borderId="16" xfId="0" applyFont="1" applyFill="1" applyBorder="1" applyAlignment="1">
      <alignment horizontal="left" vertical="center"/>
    </xf>
    <xf numFmtId="0" fontId="3" fillId="0" borderId="15" xfId="1" applyBorder="1" applyAlignment="1">
      <alignment vertical="center"/>
    </xf>
    <xf numFmtId="0" fontId="0" fillId="0" borderId="1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12" borderId="21" xfId="0" applyFont="1" applyFill="1" applyBorder="1" applyAlignment="1">
      <alignment horizontal="center" vertical="center"/>
    </xf>
    <xf numFmtId="0" fontId="19" fillId="12" borderId="19" xfId="0" applyFont="1" applyFill="1" applyBorder="1" applyAlignment="1">
      <alignment horizontal="left" vertical="center"/>
    </xf>
    <xf numFmtId="0" fontId="19" fillId="12" borderId="19" xfId="0" applyFont="1" applyFill="1" applyBorder="1" applyAlignment="1">
      <alignment horizontal="center" vertical="center"/>
    </xf>
    <xf numFmtId="0" fontId="19" fillId="12" borderId="25" xfId="0" applyFont="1" applyFill="1" applyBorder="1" applyAlignment="1">
      <alignment horizontal="left" vertical="center"/>
    </xf>
    <xf numFmtId="0" fontId="20" fillId="13" borderId="22" xfId="0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vertical="center"/>
    </xf>
    <xf numFmtId="0" fontId="21" fillId="13" borderId="17" xfId="0" applyFont="1" applyFill="1" applyBorder="1" applyAlignment="1">
      <alignment horizontal="center" vertical="center"/>
    </xf>
    <xf numFmtId="170" fontId="21" fillId="13" borderId="17" xfId="0" applyNumberFormat="1" applyFont="1" applyFill="1" applyBorder="1" applyAlignment="1">
      <alignment horizontal="center" vertical="center"/>
    </xf>
    <xf numFmtId="0" fontId="22" fillId="13" borderId="17" xfId="0" applyFont="1" applyFill="1" applyBorder="1" applyAlignment="1">
      <alignment horizontal="center" vertical="center"/>
    </xf>
    <xf numFmtId="0" fontId="21" fillId="13" borderId="26" xfId="0" applyFont="1" applyFill="1" applyBorder="1" applyAlignment="1">
      <alignment vertical="center"/>
    </xf>
    <xf numFmtId="0" fontId="20" fillId="9" borderId="23" xfId="0" applyFont="1" applyFill="1" applyBorder="1" applyAlignment="1">
      <alignment horizontal="center" vertical="center"/>
    </xf>
    <xf numFmtId="0" fontId="21" fillId="9" borderId="18" xfId="0" applyFont="1" applyFill="1" applyBorder="1" applyAlignment="1">
      <alignment vertical="center"/>
    </xf>
    <xf numFmtId="0" fontId="21" fillId="9" borderId="18" xfId="0" applyFont="1" applyFill="1" applyBorder="1" applyAlignment="1">
      <alignment horizontal="center" vertical="center"/>
    </xf>
    <xf numFmtId="170" fontId="21" fillId="9" borderId="18" xfId="0" applyNumberFormat="1" applyFont="1" applyFill="1" applyBorder="1" applyAlignment="1">
      <alignment horizontal="center" vertical="center"/>
    </xf>
    <xf numFmtId="0" fontId="22" fillId="9" borderId="18" xfId="0" applyFont="1" applyFill="1" applyBorder="1" applyAlignment="1">
      <alignment horizontal="center" vertical="center"/>
    </xf>
    <xf numFmtId="0" fontId="21" fillId="9" borderId="27" xfId="0" applyFont="1" applyFill="1" applyBorder="1" applyAlignment="1">
      <alignment vertical="center"/>
    </xf>
    <xf numFmtId="0" fontId="20" fillId="13" borderId="23" xfId="0" applyFont="1" applyFill="1" applyBorder="1" applyAlignment="1">
      <alignment horizontal="center" vertical="center"/>
    </xf>
    <xf numFmtId="0" fontId="21" fillId="13" borderId="18" xfId="0" applyFont="1" applyFill="1" applyBorder="1" applyAlignment="1">
      <alignment vertical="center"/>
    </xf>
    <xf numFmtId="0" fontId="21" fillId="13" borderId="18" xfId="0" applyFont="1" applyFill="1" applyBorder="1" applyAlignment="1">
      <alignment horizontal="center" vertical="center"/>
    </xf>
    <xf numFmtId="170" fontId="21" fillId="13" borderId="18" xfId="0" applyNumberFormat="1" applyFont="1" applyFill="1" applyBorder="1" applyAlignment="1">
      <alignment horizontal="center" vertical="center"/>
    </xf>
    <xf numFmtId="0" fontId="22" fillId="13" borderId="18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vertical="center"/>
    </xf>
    <xf numFmtId="0" fontId="20" fillId="13" borderId="24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vertical="center"/>
    </xf>
    <xf numFmtId="0" fontId="21" fillId="13" borderId="20" xfId="0" applyFont="1" applyFill="1" applyBorder="1" applyAlignment="1">
      <alignment horizontal="center" vertical="center"/>
    </xf>
    <xf numFmtId="170" fontId="21" fillId="13" borderId="20" xfId="0" applyNumberFormat="1" applyFont="1" applyFill="1" applyBorder="1" applyAlignment="1">
      <alignment horizontal="center" vertical="center"/>
    </xf>
    <xf numFmtId="0" fontId="22" fillId="13" borderId="20" xfId="0" applyFont="1" applyFill="1" applyBorder="1" applyAlignment="1">
      <alignment horizontal="center" vertical="center"/>
    </xf>
    <xf numFmtId="0" fontId="21" fillId="13" borderId="28" xfId="0" applyFont="1" applyFill="1" applyBorder="1" applyAlignment="1">
      <alignment vertical="center"/>
    </xf>
    <xf numFmtId="0" fontId="23" fillId="9" borderId="18" xfId="0" applyFont="1" applyFill="1" applyBorder="1" applyAlignment="1">
      <alignment vertical="center"/>
    </xf>
    <xf numFmtId="0" fontId="23" fillId="9" borderId="18" xfId="0" applyFont="1" applyFill="1" applyBorder="1" applyAlignment="1">
      <alignment horizontal="center" vertical="center"/>
    </xf>
    <xf numFmtId="170" fontId="23" fillId="9" borderId="18" xfId="0" applyNumberFormat="1" applyFont="1" applyFill="1" applyBorder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0" fontId="23" fillId="9" borderId="27" xfId="0" applyFont="1" applyFill="1" applyBorder="1" applyAlignment="1">
      <alignment vertical="center"/>
    </xf>
    <xf numFmtId="0" fontId="8" fillId="11" borderId="13" xfId="0" applyFont="1" applyFill="1" applyBorder="1"/>
    <xf numFmtId="0" fontId="14" fillId="11" borderId="13" xfId="1" applyFont="1" applyFill="1" applyBorder="1"/>
    <xf numFmtId="164" fontId="8" fillId="11" borderId="13" xfId="0" applyNumberFormat="1" applyFont="1" applyFill="1" applyBorder="1"/>
    <xf numFmtId="0" fontId="8" fillId="11" borderId="1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8" fillId="11" borderId="12" xfId="0" applyNumberFormat="1" applyFont="1" applyFill="1" applyBorder="1"/>
    <xf numFmtId="14" fontId="10" fillId="11" borderId="13" xfId="0" applyNumberFormat="1" applyFont="1" applyFill="1" applyBorder="1" applyAlignment="1">
      <alignment horizontal="center"/>
    </xf>
    <xf numFmtId="170" fontId="25" fillId="14" borderId="18" xfId="0" applyNumberFormat="1" applyFont="1" applyFill="1" applyBorder="1" applyAlignment="1">
      <alignment horizontal="center" vertical="center"/>
    </xf>
    <xf numFmtId="0" fontId="0" fillId="15" borderId="15" xfId="0" applyFill="1" applyBorder="1" applyAlignment="1">
      <alignment vertical="center"/>
    </xf>
    <xf numFmtId="0" fontId="0" fillId="15" borderId="15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15" borderId="15" xfId="0" applyNumberFormat="1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166" fontId="0" fillId="15" borderId="15" xfId="0" applyNumberFormat="1" applyFill="1" applyBorder="1" applyAlignment="1">
      <alignment horizontal="center" vertical="center"/>
    </xf>
    <xf numFmtId="0" fontId="0" fillId="15" borderId="14" xfId="0" applyFill="1" applyBorder="1" applyAlignment="1">
      <alignment vertical="center" wrapText="1"/>
    </xf>
    <xf numFmtId="166" fontId="3" fillId="0" borderId="14" xfId="1" applyNumberFormat="1" applyFill="1" applyBorder="1" applyAlignment="1">
      <alignment horizontal="center" vertical="center"/>
    </xf>
    <xf numFmtId="0" fontId="3" fillId="15" borderId="15" xfId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3">
    <dxf>
      <fill>
        <patternFill patternType="solid">
          <fgColor indexed="64"/>
          <bgColor rgb="FFD5F5E3"/>
        </patternFill>
      </fill>
    </dxf>
    <dxf>
      <font>
        <color rgb="FF707B7C"/>
      </font>
    </dxf>
    <dxf>
      <font>
        <color rgb="FFB7950B"/>
      </font>
    </dxf>
    <dxf>
      <font>
        <b/>
        <i val="0"/>
        <color rgb="FFC0392B"/>
      </font>
    </dxf>
    <dxf>
      <font>
        <color rgb="FF707B7C"/>
      </font>
      <fill>
        <patternFill patternType="solid">
          <fgColor indexed="64"/>
          <bgColor rgb="FFEAECEE"/>
        </patternFill>
      </fill>
    </dxf>
    <dxf>
      <font>
        <color rgb="FF1E8449"/>
      </font>
      <fill>
        <patternFill patternType="solid">
          <fgColor indexed="64"/>
          <bgColor rgb="FFD5F5E3"/>
        </patternFill>
      </fill>
    </dxf>
    <dxf>
      <font>
        <color rgb="FFB7950B"/>
      </font>
      <fill>
        <patternFill patternType="solid">
          <fgColor indexed="64"/>
          <bgColor rgb="FFFEF9E7"/>
        </patternFill>
      </fill>
    </dxf>
    <dxf>
      <font>
        <color rgb="FFC0392B"/>
      </font>
      <fill>
        <patternFill patternType="solid">
          <fgColor indexed="64"/>
          <bgColor rgb="FFFADBD8"/>
        </patternFill>
      </fill>
    </dxf>
    <dxf>
      <font>
        <strike/>
        <color rgb="FFAAB7B8"/>
      </font>
    </dxf>
    <dxf>
      <font>
        <color rgb="FF27AE60"/>
      </font>
    </dxf>
    <dxf>
      <fill>
        <patternFill patternType="solid">
          <fgColor indexed="64"/>
          <bgColor rgb="FFBDD7EE"/>
        </patternFill>
      </fill>
    </dxf>
    <dxf>
      <font>
        <strike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3FDDA95-B432-3C4E-B08D-5BF54F27D1F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1a35d6f-82a7-463e-9695-3b4ebc13d8f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0D7AB2A4-C722-934E-898A-93F87DC0E756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985a158-c10c-46ac-b92f-8f084395797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.co/d/015UqjOZ" TargetMode="External"/><Relationship Id="rId18" Type="http://schemas.openxmlformats.org/officeDocument/2006/relationships/hyperlink" Target="https://a.co/d/08KGpLxa" TargetMode="External"/><Relationship Id="rId26" Type="http://schemas.openxmlformats.org/officeDocument/2006/relationships/hyperlink" Target="https://a.co/d/04I6DR4z" TargetMode="External"/><Relationship Id="rId39" Type="http://schemas.openxmlformats.org/officeDocument/2006/relationships/hyperlink" Target="https://a.co/d/08h5XGWf" TargetMode="External"/><Relationship Id="rId21" Type="http://schemas.openxmlformats.org/officeDocument/2006/relationships/hyperlink" Target="https://a.co/d/01OGiXPe" TargetMode="External"/><Relationship Id="rId34" Type="http://schemas.openxmlformats.org/officeDocument/2006/relationships/hyperlink" Target="https://a.co/d/03xv7cO8" TargetMode="External"/><Relationship Id="rId42" Type="http://schemas.openxmlformats.org/officeDocument/2006/relationships/hyperlink" Target="https://a.co/d/0hKsrofJ" TargetMode="External"/><Relationship Id="rId7" Type="http://schemas.openxmlformats.org/officeDocument/2006/relationships/hyperlink" Target="https://a.co/d/07dFYWlr" TargetMode="External"/><Relationship Id="rId2" Type="http://schemas.openxmlformats.org/officeDocument/2006/relationships/hyperlink" Target="https://www.phidgets.com/?prodid=1334" TargetMode="External"/><Relationship Id="rId16" Type="http://schemas.openxmlformats.org/officeDocument/2006/relationships/hyperlink" Target="https://www.amazon.com/dp/B0BLR88HLS?_encoding=UTF8&amp;psc=1&amp;ref_=cm_sw_r_cp_ud_dp_4CWKATJSX0HQ7C9FSVZZ" TargetMode="External"/><Relationship Id="rId20" Type="http://schemas.openxmlformats.org/officeDocument/2006/relationships/hyperlink" Target="https://a.co/d/0ieLppbD" TargetMode="External"/><Relationship Id="rId29" Type="http://schemas.openxmlformats.org/officeDocument/2006/relationships/hyperlink" Target="https://a.co/d/0iuMt1o2" TargetMode="External"/><Relationship Id="rId41" Type="http://schemas.openxmlformats.org/officeDocument/2006/relationships/hyperlink" Target="https://a.co/d/083jHXEq" TargetMode="External"/><Relationship Id="rId1" Type="http://schemas.openxmlformats.org/officeDocument/2006/relationships/hyperlink" Target="https://www.phidgets.com/?prodid=1277" TargetMode="External"/><Relationship Id="rId6" Type="http://schemas.openxmlformats.org/officeDocument/2006/relationships/hyperlink" Target="https://www.phidgets.com/?prodid=1152" TargetMode="External"/><Relationship Id="rId11" Type="http://schemas.openxmlformats.org/officeDocument/2006/relationships/hyperlink" Target="https://a.co/d/05idmL7c" TargetMode="External"/><Relationship Id="rId24" Type="http://schemas.openxmlformats.org/officeDocument/2006/relationships/hyperlink" Target="https://a.co/d/03wzFnDJ" TargetMode="External"/><Relationship Id="rId32" Type="http://schemas.openxmlformats.org/officeDocument/2006/relationships/hyperlink" Target="https://a.co/d/0hYVZWZk" TargetMode="External"/><Relationship Id="rId37" Type="http://schemas.openxmlformats.org/officeDocument/2006/relationships/hyperlink" Target="https://a.co/d/03Tl3CyI" TargetMode="External"/><Relationship Id="rId40" Type="http://schemas.openxmlformats.org/officeDocument/2006/relationships/hyperlink" Target="https://a.co/d/08Fm3QJV" TargetMode="External"/><Relationship Id="rId5" Type="http://schemas.openxmlformats.org/officeDocument/2006/relationships/hyperlink" Target="https://www.ebay.com/itm/377218636750?chn=ps&amp;norover=1&amp;mkevt=1&amp;mkrid=711-166974-028196-7&amp;mkcid=2&amp;mkscid=101&amp;itemid=377218636750&amp;targetid=2274951440814&amp;device=c&amp;mktype=pla_with_promotion&amp;googleloc=9016722&amp;poi=&amp;campaignid=23919180199&amp;mkgroupid=202907208211&amp;rlsatarget=pla-2274951440814&amp;abcId=10729771&amp;merchantid=5785102944&amp;geoid=9016722&amp;gad_source=1&amp;gad_campaignid=23919180199&amp;gbraid=0AAAAAD_QDh-P4jhleldk4VloXtDlp9cji&amp;gclid=CjwKCAjw3ejRBhAdEiwADkqPn8PTlhVm8a4VWXO2eQnNUB42BWNIHEt-cRDCs5dJbVjO3l6Aklh4sxoCoTQQAvD_BwE" TargetMode="External"/><Relationship Id="rId15" Type="http://schemas.openxmlformats.org/officeDocument/2006/relationships/hyperlink" Target="https://a.co/d/03x5xjAN" TargetMode="External"/><Relationship Id="rId23" Type="http://schemas.openxmlformats.org/officeDocument/2006/relationships/hyperlink" Target="https://a.co/d/0h1wA600" TargetMode="External"/><Relationship Id="rId28" Type="http://schemas.openxmlformats.org/officeDocument/2006/relationships/hyperlink" Target="https://a.co/d/06vvXAJK" TargetMode="External"/><Relationship Id="rId36" Type="http://schemas.openxmlformats.org/officeDocument/2006/relationships/hyperlink" Target="https://a.co/d/08QZA3Kx" TargetMode="External"/><Relationship Id="rId10" Type="http://schemas.openxmlformats.org/officeDocument/2006/relationships/hyperlink" Target="https://a.co/d/015UqjOZ" TargetMode="External"/><Relationship Id="rId19" Type="http://schemas.openxmlformats.org/officeDocument/2006/relationships/hyperlink" Target="https://a.co/d/08riY8Qj" TargetMode="External"/><Relationship Id="rId31" Type="http://schemas.openxmlformats.org/officeDocument/2006/relationships/hyperlink" Target="https://a.co/d/0ao8UDSx" TargetMode="External"/><Relationship Id="rId4" Type="http://schemas.openxmlformats.org/officeDocument/2006/relationships/hyperlink" Target="https://www.phidgets.com/?prodid=358" TargetMode="External"/><Relationship Id="rId9" Type="http://schemas.openxmlformats.org/officeDocument/2006/relationships/hyperlink" Target="https://a.co/d/0dMIwF8o" TargetMode="External"/><Relationship Id="rId14" Type="http://schemas.openxmlformats.org/officeDocument/2006/relationships/hyperlink" Target="https://a.co/d/0cPtuMKx" TargetMode="External"/><Relationship Id="rId22" Type="http://schemas.openxmlformats.org/officeDocument/2006/relationships/hyperlink" Target="https://a.co/d/03rkrYV2" TargetMode="External"/><Relationship Id="rId27" Type="http://schemas.openxmlformats.org/officeDocument/2006/relationships/hyperlink" Target="https://a.co/d/0eivdwFn" TargetMode="External"/><Relationship Id="rId30" Type="http://schemas.openxmlformats.org/officeDocument/2006/relationships/hyperlink" Target="https://a.co/d/08JEkI1R" TargetMode="External"/><Relationship Id="rId35" Type="http://schemas.openxmlformats.org/officeDocument/2006/relationships/hyperlink" Target="https://a.co/d/0aQKZhma" TargetMode="External"/><Relationship Id="rId43" Type="http://schemas.openxmlformats.org/officeDocument/2006/relationships/hyperlink" Target="https://www.digikey.com/en/products/detail/tdk-lambda/I7C08A-C03-EVK-S1/11697404?s=N4IgTCBcDaIJYHYDCAGAHAQQLSoMxYFEA1AaSwGUBGAAhAF0BfIA" TargetMode="External"/><Relationship Id="rId8" Type="http://schemas.openxmlformats.org/officeDocument/2006/relationships/hyperlink" Target="https://a.co/d/03pnJDRO" TargetMode="External"/><Relationship Id="rId3" Type="http://schemas.openxmlformats.org/officeDocument/2006/relationships/hyperlink" Target="https://www.phidgets.com/?prodid=1289" TargetMode="External"/><Relationship Id="rId12" Type="http://schemas.openxmlformats.org/officeDocument/2006/relationships/hyperlink" Target="https://a.co/d/05bscNKd" TargetMode="External"/><Relationship Id="rId17" Type="http://schemas.openxmlformats.org/officeDocument/2006/relationships/hyperlink" Target="https://a.co/d/08zSQsqp" TargetMode="External"/><Relationship Id="rId25" Type="http://schemas.openxmlformats.org/officeDocument/2006/relationships/hyperlink" Target="https://a.co/d/0egGaLfo" TargetMode="External"/><Relationship Id="rId33" Type="http://schemas.openxmlformats.org/officeDocument/2006/relationships/hyperlink" Target="https://a.co/d/0dMR5IC6" TargetMode="External"/><Relationship Id="rId38" Type="http://schemas.openxmlformats.org/officeDocument/2006/relationships/hyperlink" Target="https://a.co/d/05fNQzl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rdue0-my.sharepoint.com/:f:/g/personal/hu1148_purdue_edu/IgDpwjqgMF1sQ6UDwK7l8-C1ARz5UTSuRum5vbspe4Wdp3c?e=HKfVnr" TargetMode="External"/><Relationship Id="rId3" Type="http://schemas.openxmlformats.org/officeDocument/2006/relationships/hyperlink" Target="https://purdue0-my.sharepoint.com/:u:/g/personal/hu1148_purdue_edu/IQB4x_pjF77cQIeNR8XCYj4SAca2U06E5pc1CLFbwqANrzw?e=JkwfQA" TargetMode="External"/><Relationship Id="rId7" Type="http://schemas.openxmlformats.org/officeDocument/2006/relationships/hyperlink" Target="https://purdue0-my.sharepoint.com/:f:/g/personal/hu1148_purdue_edu/IgDpwjqgMF1sQ6UDwK7l8-C1ARz5UTSuRum5vbspe4Wdp3c?e=HKfVnr" TargetMode="External"/><Relationship Id="rId2" Type="http://schemas.openxmlformats.org/officeDocument/2006/relationships/hyperlink" Target="https://purdue0-my.sharepoint.com/:u:/g/personal/hu1148_purdue_edu/IQCtF8VszyXORZrupyD5BI4pAaD0HQi_WAWzIIBbsoAekO4?e=1mxFPV" TargetMode="External"/><Relationship Id="rId1" Type="http://schemas.openxmlformats.org/officeDocument/2006/relationships/hyperlink" Target="https://purdue0-my.sharepoint.com/:u:/g/personal/hu1148_purdue_edu/IQCMtY0zpDrqRZzsIyYgJC54AS7pX6fxyCj11HZHDsCYCWM?e=kJG68o" TargetMode="External"/><Relationship Id="rId6" Type="http://schemas.openxmlformats.org/officeDocument/2006/relationships/hyperlink" Target="https://purdue0-my.sharepoint.com/:f:/g/personal/hu1148_purdue_edu/IgDpwjqgMF1sQ6UDwK7l8-C1ARz5UTSuRum5vbspe4Wdp3c?e=HKfVnr" TargetMode="External"/><Relationship Id="rId5" Type="http://schemas.openxmlformats.org/officeDocument/2006/relationships/hyperlink" Target="https://purdue0-my.sharepoint.com/:u:/g/personal/hu1148_purdue_edu/IQBjN1l6AmQZSLsKC7tZLmvLAbERLedJ_jSwBXzdQt5-TCs?e=EsIWNt" TargetMode="External"/><Relationship Id="rId4" Type="http://schemas.openxmlformats.org/officeDocument/2006/relationships/hyperlink" Target="https://purdue0-my.sharepoint.com/:u:/g/personal/hu1148_purdue_edu/IQAflbJDfMHmQYBJUHJEfLkQAYYA1WNV4-lS66rR3_gO3rQ?e=AjboH8" TargetMode="External"/><Relationship Id="rId9" Type="http://schemas.openxmlformats.org/officeDocument/2006/relationships/hyperlink" Target="https://purdue0-my.sharepoint.com/:f:/g/personal/hu1148_purdue_edu/IgDpwjqgMF1sQ6UDwK7l8-C1ARz5UTSuRum5vbspe4Wdp3c?e=HKfVn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DFJ3HVPC?ref=cm_sw_r_cso_wa_apin_dp_5HQAW2GZ9KR1WGNEH1YS&amp;ref_=cm_sw_r_cso_wa_apin_dp_5HQAW2GZ9KR1WGNEH1YS&amp;social_share=cm_sw_r_cso_wa_apin_dp_5HQAW2GZ9KR1WGNEH1Y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ep.physics.illinois.edu/home/serrede/p436/lecture_notes/american_wire_gaug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3"/>
  <sheetViews>
    <sheetView tabSelected="1" zoomScale="84" workbookViewId="0">
      <selection activeCell="A2" sqref="A2"/>
    </sheetView>
  </sheetViews>
  <sheetFormatPr baseColWidth="10" defaultColWidth="8.83203125" defaultRowHeight="15" x14ac:dyDescent="0.2"/>
  <cols>
    <col min="2" max="2" width="42.83203125" customWidth="1"/>
    <col min="3" max="3" width="23.6640625" customWidth="1"/>
    <col min="4" max="4" width="27.1640625" customWidth="1"/>
    <col min="5" max="5" width="20.5" customWidth="1"/>
    <col min="6" max="6" width="18.5" style="1" customWidth="1"/>
    <col min="7" max="7" width="13.6640625" customWidth="1"/>
    <col min="8" max="8" width="6.83203125" customWidth="1"/>
    <col min="9" max="9" width="14.83203125" customWidth="1"/>
    <col min="10" max="10" width="10.1640625" style="15" bestFit="1" customWidth="1"/>
    <col min="11" max="11" width="15.83203125" customWidth="1"/>
    <col min="12" max="12" width="107.6640625" customWidth="1"/>
    <col min="13" max="13" width="111" customWidth="1"/>
  </cols>
  <sheetData>
    <row r="2" spans="1:12" ht="34" x14ac:dyDescent="0.4">
      <c r="B2" s="13" t="s">
        <v>0</v>
      </c>
    </row>
    <row r="5" spans="1:12" s="10" customFormat="1" ht="36.75" customHeight="1" thickBot="1" x14ac:dyDescent="0.35">
      <c r="A5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11" t="s">
        <v>6</v>
      </c>
      <c r="H5" s="9"/>
      <c r="I5" s="9" t="s">
        <v>7</v>
      </c>
      <c r="J5" s="16" t="s">
        <v>8</v>
      </c>
      <c r="K5" s="9" t="s">
        <v>9</v>
      </c>
      <c r="L5" s="9" t="s">
        <v>10</v>
      </c>
    </row>
    <row r="6" spans="1:12" ht="15.75" customHeight="1" thickTop="1" thickBot="1" x14ac:dyDescent="0.25">
      <c r="B6" s="59" t="s">
        <v>11</v>
      </c>
      <c r="C6" s="60"/>
      <c r="D6" s="60"/>
      <c r="E6" s="60"/>
      <c r="F6" s="61"/>
      <c r="G6" s="61"/>
      <c r="H6" s="60"/>
      <c r="I6" s="60"/>
      <c r="J6" s="62"/>
      <c r="K6" s="60"/>
      <c r="L6" s="60"/>
    </row>
    <row r="7" spans="1:12" ht="14.25" customHeight="1" thickTop="1" x14ac:dyDescent="0.2">
      <c r="B7" s="63" t="s">
        <v>12</v>
      </c>
      <c r="C7" s="63"/>
      <c r="D7" s="64" t="s">
        <v>13</v>
      </c>
      <c r="E7" s="63">
        <v>4</v>
      </c>
      <c r="F7" s="65">
        <v>88</v>
      </c>
      <c r="G7" s="65">
        <f>E7*F7</f>
        <v>352</v>
      </c>
      <c r="H7" s="63"/>
      <c r="I7" s="66" t="b">
        <v>1</v>
      </c>
      <c r="J7" s="67">
        <v>46205</v>
      </c>
      <c r="K7" s="68" t="b">
        <v>1</v>
      </c>
      <c r="L7" s="69" t="s">
        <v>14</v>
      </c>
    </row>
    <row r="8" spans="1:12" ht="14.25" customHeight="1" x14ac:dyDescent="0.2">
      <c r="B8" s="75" t="s">
        <v>15</v>
      </c>
      <c r="C8" s="75"/>
      <c r="D8" s="76" t="s">
        <v>16</v>
      </c>
      <c r="E8" s="75">
        <v>4</v>
      </c>
      <c r="F8" s="77">
        <v>160</v>
      </c>
      <c r="G8" s="77">
        <f>E8*F8</f>
        <v>640</v>
      </c>
      <c r="H8" s="75"/>
      <c r="I8" s="78" t="b">
        <v>1</v>
      </c>
      <c r="J8" s="79">
        <v>46205</v>
      </c>
      <c r="K8" s="78" t="b">
        <v>1</v>
      </c>
      <c r="L8" s="80" t="s">
        <v>17</v>
      </c>
    </row>
    <row r="9" spans="1:12" ht="14.25" customHeight="1" x14ac:dyDescent="0.2">
      <c r="B9" s="75" t="s">
        <v>18</v>
      </c>
      <c r="C9" s="75"/>
      <c r="D9" s="76" t="s">
        <v>19</v>
      </c>
      <c r="E9" s="75">
        <v>1</v>
      </c>
      <c r="F9" s="77">
        <v>40</v>
      </c>
      <c r="G9" s="77">
        <f>E9*F9</f>
        <v>40</v>
      </c>
      <c r="H9" s="75"/>
      <c r="I9" s="78" t="b">
        <v>1</v>
      </c>
      <c r="J9" s="79">
        <v>46205</v>
      </c>
      <c r="K9" s="78" t="b">
        <v>1</v>
      </c>
      <c r="L9" s="80" t="s">
        <v>20</v>
      </c>
    </row>
    <row r="10" spans="1:12" ht="14.25" customHeight="1" x14ac:dyDescent="0.2">
      <c r="B10" s="75" t="s">
        <v>21</v>
      </c>
      <c r="C10" s="75"/>
      <c r="D10" s="76" t="s">
        <v>22</v>
      </c>
      <c r="E10" s="75">
        <v>4</v>
      </c>
      <c r="F10" s="77">
        <v>4</v>
      </c>
      <c r="G10" s="77">
        <f>E10*F10</f>
        <v>16</v>
      </c>
      <c r="H10" s="76"/>
      <c r="I10" s="78" t="b">
        <v>1</v>
      </c>
      <c r="J10" s="79">
        <v>46205</v>
      </c>
      <c r="K10" s="78" t="b">
        <v>1</v>
      </c>
      <c r="L10" s="80" t="s">
        <v>23</v>
      </c>
    </row>
    <row r="11" spans="1:12" ht="16" x14ac:dyDescent="0.2">
      <c r="B11" s="75" t="s">
        <v>24</v>
      </c>
      <c r="C11" s="75"/>
      <c r="D11" s="76" t="s">
        <v>25</v>
      </c>
      <c r="E11" s="75">
        <v>4</v>
      </c>
      <c r="F11" s="77">
        <v>2</v>
      </c>
      <c r="G11" s="77">
        <f>E11*F11</f>
        <v>8</v>
      </c>
      <c r="H11" s="75"/>
      <c r="I11" s="78" t="b">
        <v>1</v>
      </c>
      <c r="J11" s="79">
        <v>46205</v>
      </c>
      <c r="K11" s="78" t="b">
        <v>1</v>
      </c>
      <c r="L11" s="80" t="s">
        <v>26</v>
      </c>
    </row>
    <row r="12" spans="1:12" ht="16" x14ac:dyDescent="0.2">
      <c r="B12" s="75" t="s">
        <v>27</v>
      </c>
      <c r="C12" s="75"/>
      <c r="D12" s="76"/>
      <c r="E12" s="75"/>
      <c r="F12" s="77">
        <v>399</v>
      </c>
      <c r="G12" s="77"/>
      <c r="H12" s="75"/>
      <c r="I12" s="75"/>
      <c r="J12" s="79"/>
      <c r="K12" s="75"/>
      <c r="L12" s="80" t="s">
        <v>28</v>
      </c>
    </row>
    <row r="13" spans="1:12" ht="16" thickBot="1" x14ac:dyDescent="0.25">
      <c r="B13" s="70" t="s">
        <v>29</v>
      </c>
      <c r="C13" s="70"/>
      <c r="D13" s="70"/>
      <c r="E13" s="70"/>
      <c r="F13" s="72">
        <v>155.65</v>
      </c>
      <c r="G13" s="72"/>
      <c r="H13" s="70"/>
      <c r="I13" s="70"/>
      <c r="J13" s="74"/>
      <c r="K13" s="70"/>
      <c r="L13" s="70"/>
    </row>
    <row r="14" spans="1:12" ht="15.75" customHeight="1" thickTop="1" thickBot="1" x14ac:dyDescent="0.25">
      <c r="B14" s="59" t="s">
        <v>30</v>
      </c>
      <c r="C14" s="60"/>
      <c r="D14" s="60"/>
      <c r="E14" s="60"/>
      <c r="F14" s="61"/>
      <c r="G14" s="61"/>
      <c r="H14" s="60"/>
      <c r="I14" s="60"/>
      <c r="J14" s="62"/>
      <c r="K14" s="60"/>
      <c r="L14" s="60"/>
    </row>
    <row r="15" spans="1:12" ht="16" thickTop="1" x14ac:dyDescent="0.2">
      <c r="B15" s="63" t="s">
        <v>31</v>
      </c>
      <c r="C15" s="63" t="s">
        <v>32</v>
      </c>
      <c r="D15" s="64" t="s">
        <v>33</v>
      </c>
      <c r="E15" s="63">
        <v>1</v>
      </c>
      <c r="F15" s="65">
        <v>16.04</v>
      </c>
      <c r="G15" s="65">
        <f t="shared" ref="G15:G20" si="0">E15*F15</f>
        <v>16.04</v>
      </c>
      <c r="H15" s="63"/>
      <c r="I15" s="66" t="b">
        <v>1</v>
      </c>
      <c r="J15" s="67">
        <v>46205</v>
      </c>
      <c r="K15" s="66" t="b">
        <v>1</v>
      </c>
      <c r="L15" s="81" t="s">
        <v>34</v>
      </c>
    </row>
    <row r="16" spans="1:12" x14ac:dyDescent="0.2">
      <c r="B16" s="75" t="s">
        <v>35</v>
      </c>
      <c r="C16" s="84" t="s">
        <v>36</v>
      </c>
      <c r="D16" s="76" t="s">
        <v>37</v>
      </c>
      <c r="E16" s="75">
        <v>0</v>
      </c>
      <c r="F16" s="77">
        <v>138.47</v>
      </c>
      <c r="G16" s="77">
        <f t="shared" si="0"/>
        <v>0</v>
      </c>
      <c r="H16" s="75"/>
      <c r="I16" s="78" t="b">
        <v>1</v>
      </c>
      <c r="J16" s="79">
        <f t="shared" ref="J16" ca="1" si="1">IF(I16, TODAY(), 0)</f>
        <v>46239</v>
      </c>
      <c r="K16" s="78" t="b">
        <v>1</v>
      </c>
      <c r="L16" s="85" t="s">
        <v>38</v>
      </c>
    </row>
    <row r="17" spans="1:16" x14ac:dyDescent="0.2">
      <c r="B17" s="75" t="s">
        <v>39</v>
      </c>
      <c r="C17" s="75"/>
      <c r="D17" s="76" t="s">
        <v>40</v>
      </c>
      <c r="E17" s="75">
        <v>1</v>
      </c>
      <c r="F17" s="77">
        <v>20.99</v>
      </c>
      <c r="G17" s="77">
        <f t="shared" si="0"/>
        <v>20.99</v>
      </c>
      <c r="H17" s="75"/>
      <c r="I17" s="78" t="b">
        <v>1</v>
      </c>
      <c r="J17" s="79">
        <v>46205</v>
      </c>
      <c r="K17" s="78" t="b">
        <v>1</v>
      </c>
      <c r="L17" s="85" t="s">
        <v>41</v>
      </c>
    </row>
    <row r="18" spans="1:16" x14ac:dyDescent="0.2">
      <c r="B18" s="75" t="s">
        <v>42</v>
      </c>
      <c r="C18" s="75"/>
      <c r="D18" s="76" t="s">
        <v>43</v>
      </c>
      <c r="E18" s="75">
        <v>1</v>
      </c>
      <c r="F18" s="77">
        <v>9.59</v>
      </c>
      <c r="G18" s="77">
        <f t="shared" si="0"/>
        <v>9.59</v>
      </c>
      <c r="H18" s="75"/>
      <c r="I18" s="78" t="b">
        <v>1</v>
      </c>
      <c r="J18" s="79">
        <v>46205</v>
      </c>
      <c r="K18" s="78" t="b">
        <v>1</v>
      </c>
      <c r="L18" s="85" t="s">
        <v>44</v>
      </c>
    </row>
    <row r="19" spans="1:16" x14ac:dyDescent="0.2">
      <c r="B19" s="75" t="s">
        <v>45</v>
      </c>
      <c r="C19" s="75" t="s">
        <v>11</v>
      </c>
      <c r="D19" s="76" t="s">
        <v>46</v>
      </c>
      <c r="E19" s="75">
        <v>2</v>
      </c>
      <c r="F19" s="77">
        <v>9.99</v>
      </c>
      <c r="G19" s="77">
        <f t="shared" si="0"/>
        <v>19.98</v>
      </c>
      <c r="H19" s="75"/>
      <c r="I19" s="78" t="b">
        <v>1</v>
      </c>
      <c r="J19" s="79">
        <v>46205</v>
      </c>
      <c r="K19" s="78" t="b">
        <v>1</v>
      </c>
      <c r="L19" s="85" t="s">
        <v>47</v>
      </c>
    </row>
    <row r="20" spans="1:16" x14ac:dyDescent="0.2">
      <c r="B20" s="75" t="s">
        <v>48</v>
      </c>
      <c r="C20" s="75"/>
      <c r="D20" s="76" t="s">
        <v>49</v>
      </c>
      <c r="E20" s="75">
        <v>1</v>
      </c>
      <c r="F20" s="77">
        <v>6.59</v>
      </c>
      <c r="G20" s="77">
        <f t="shared" si="0"/>
        <v>6.59</v>
      </c>
      <c r="H20" s="75"/>
      <c r="I20" s="78" t="b">
        <v>1</v>
      </c>
      <c r="J20" s="79">
        <v>46205</v>
      </c>
      <c r="K20" s="78" t="b">
        <v>1</v>
      </c>
      <c r="L20" s="85" t="s">
        <v>50</v>
      </c>
    </row>
    <row r="21" spans="1:16" s="17" customFormat="1" x14ac:dyDescent="0.2">
      <c r="B21" s="87" t="s">
        <v>51</v>
      </c>
      <c r="C21" s="87"/>
      <c r="D21" s="88" t="s">
        <v>52</v>
      </c>
      <c r="E21" s="87">
        <v>1</v>
      </c>
      <c r="F21" s="89">
        <v>9.69</v>
      </c>
      <c r="G21" s="77"/>
      <c r="H21" s="87"/>
      <c r="I21" s="78" t="b">
        <v>1</v>
      </c>
      <c r="J21" s="90" t="s">
        <v>53</v>
      </c>
      <c r="K21" s="91" t="b">
        <v>0</v>
      </c>
      <c r="L21" s="92" t="s">
        <v>54</v>
      </c>
    </row>
    <row r="22" spans="1:16" x14ac:dyDescent="0.2">
      <c r="B22" s="75" t="s">
        <v>55</v>
      </c>
      <c r="C22" s="75"/>
      <c r="D22" s="76" t="s">
        <v>56</v>
      </c>
      <c r="E22" s="75">
        <v>1</v>
      </c>
      <c r="F22" s="77">
        <v>14.48</v>
      </c>
      <c r="G22" s="77">
        <f t="shared" ref="G22:G43" si="2">E22*F22</f>
        <v>14.48</v>
      </c>
      <c r="H22" s="75"/>
      <c r="I22" s="78" t="b">
        <v>1</v>
      </c>
      <c r="J22" s="79">
        <v>46205</v>
      </c>
      <c r="K22" s="78" t="b">
        <v>1</v>
      </c>
      <c r="L22" s="75" t="s">
        <v>54</v>
      </c>
    </row>
    <row r="23" spans="1:16" s="17" customFormat="1" x14ac:dyDescent="0.2">
      <c r="B23" s="87" t="s">
        <v>57</v>
      </c>
      <c r="C23" s="87"/>
      <c r="D23" s="88" t="s">
        <v>58</v>
      </c>
      <c r="E23" s="87">
        <v>1</v>
      </c>
      <c r="F23" s="89">
        <v>7.99</v>
      </c>
      <c r="G23" s="93"/>
      <c r="H23" s="87"/>
      <c r="I23" s="91" t="b">
        <v>1</v>
      </c>
      <c r="J23" s="90" t="s">
        <v>53</v>
      </c>
      <c r="K23" s="91" t="b">
        <v>0</v>
      </c>
      <c r="L23" s="92" t="s">
        <v>59</v>
      </c>
    </row>
    <row r="24" spans="1:16" x14ac:dyDescent="0.2">
      <c r="B24" s="75" t="s">
        <v>60</v>
      </c>
      <c r="C24" s="75"/>
      <c r="D24" s="76" t="s">
        <v>61</v>
      </c>
      <c r="E24" s="75">
        <v>1</v>
      </c>
      <c r="F24" s="77">
        <v>28.97</v>
      </c>
      <c r="G24" s="77">
        <f>E24*F24</f>
        <v>28.97</v>
      </c>
      <c r="H24" s="75"/>
      <c r="I24" s="78" t="b">
        <v>1</v>
      </c>
      <c r="J24" s="79">
        <v>46205</v>
      </c>
      <c r="K24" s="78" t="b">
        <v>1</v>
      </c>
      <c r="L24" s="75" t="s">
        <v>59</v>
      </c>
    </row>
    <row r="25" spans="1:16" x14ac:dyDescent="0.2">
      <c r="B25" s="75" t="s">
        <v>62</v>
      </c>
      <c r="C25" s="75"/>
      <c r="D25" s="76" t="s">
        <v>63</v>
      </c>
      <c r="E25" s="75">
        <v>1</v>
      </c>
      <c r="F25" s="77">
        <v>9.99</v>
      </c>
      <c r="G25" s="77">
        <f>E25*F25</f>
        <v>9.99</v>
      </c>
      <c r="H25" s="75"/>
      <c r="I25" s="78" t="b">
        <v>1</v>
      </c>
      <c r="J25" s="79">
        <v>46216</v>
      </c>
      <c r="K25" s="78" t="b">
        <v>1</v>
      </c>
      <c r="L25" s="75" t="s">
        <v>59</v>
      </c>
    </row>
    <row r="26" spans="1:16" s="17" customFormat="1" x14ac:dyDescent="0.2">
      <c r="B26" s="75" t="s">
        <v>64</v>
      </c>
      <c r="C26" s="75"/>
      <c r="D26" s="76" t="s">
        <v>65</v>
      </c>
      <c r="E26" s="75">
        <v>1</v>
      </c>
      <c r="F26" s="77">
        <v>5.99</v>
      </c>
      <c r="G26" s="77">
        <f t="shared" si="2"/>
        <v>5.99</v>
      </c>
      <c r="H26" s="75"/>
      <c r="I26" s="78" t="b">
        <v>1</v>
      </c>
      <c r="J26" s="79">
        <v>46205</v>
      </c>
      <c r="K26" s="78" t="b">
        <v>1</v>
      </c>
      <c r="L26" s="85" t="s">
        <v>66</v>
      </c>
      <c r="M26"/>
      <c r="N26"/>
      <c r="O26"/>
      <c r="P26"/>
    </row>
    <row r="27" spans="1:16" s="17" customFormat="1" x14ac:dyDescent="0.2">
      <c r="B27" s="75" t="s">
        <v>67</v>
      </c>
      <c r="C27" s="75"/>
      <c r="D27" s="76" t="s">
        <v>68</v>
      </c>
      <c r="E27" s="75">
        <v>1</v>
      </c>
      <c r="F27" s="77">
        <v>34.89</v>
      </c>
      <c r="G27" s="77">
        <f t="shared" si="2"/>
        <v>34.89</v>
      </c>
      <c r="H27" s="75"/>
      <c r="I27" s="78" t="b">
        <v>1</v>
      </c>
      <c r="J27" s="79"/>
      <c r="K27" s="78" t="b">
        <v>1</v>
      </c>
      <c r="L27" s="85"/>
      <c r="M27"/>
      <c r="N27"/>
      <c r="O27"/>
      <c r="P27"/>
    </row>
    <row r="28" spans="1:16" s="17" customFormat="1" x14ac:dyDescent="0.2">
      <c r="B28" s="75" t="s">
        <v>69</v>
      </c>
      <c r="C28" s="75"/>
      <c r="D28" s="76" t="s">
        <v>70</v>
      </c>
      <c r="E28" s="75">
        <v>1</v>
      </c>
      <c r="F28" s="77">
        <v>32.36</v>
      </c>
      <c r="G28" s="77">
        <f t="shared" si="2"/>
        <v>32.36</v>
      </c>
      <c r="H28" s="75"/>
      <c r="I28" s="78" t="b">
        <v>1</v>
      </c>
      <c r="J28" s="79"/>
      <c r="K28" s="78" t="b">
        <v>1</v>
      </c>
      <c r="L28" s="85" t="s">
        <v>71</v>
      </c>
      <c r="M28"/>
      <c r="N28"/>
      <c r="O28"/>
      <c r="P28"/>
    </row>
    <row r="29" spans="1:16" s="17" customFormat="1" x14ac:dyDescent="0.2">
      <c r="B29" s="94" t="s">
        <v>72</v>
      </c>
      <c r="C29" s="87"/>
      <c r="D29" s="76" t="s">
        <v>73</v>
      </c>
      <c r="E29" s="94">
        <v>1</v>
      </c>
      <c r="F29" s="77">
        <v>27.05</v>
      </c>
      <c r="G29" s="77">
        <f t="shared" si="2"/>
        <v>27.05</v>
      </c>
      <c r="H29" s="87"/>
      <c r="I29" s="78" t="b">
        <v>1</v>
      </c>
      <c r="J29" s="79">
        <v>46205</v>
      </c>
      <c r="K29" s="78" t="b">
        <v>1</v>
      </c>
      <c r="L29" s="94" t="s">
        <v>74</v>
      </c>
    </row>
    <row r="30" spans="1:16" x14ac:dyDescent="0.2">
      <c r="B30" s="75" t="s">
        <v>75</v>
      </c>
      <c r="C30" s="75"/>
      <c r="D30" s="76" t="s">
        <v>76</v>
      </c>
      <c r="E30" s="75">
        <v>1</v>
      </c>
      <c r="F30" s="77">
        <v>31.15</v>
      </c>
      <c r="G30" s="77">
        <f t="shared" si="2"/>
        <v>31.15</v>
      </c>
      <c r="H30" s="75"/>
      <c r="I30" s="78" t="b">
        <v>1</v>
      </c>
      <c r="J30" s="79">
        <v>46205</v>
      </c>
      <c r="K30" s="78" t="b">
        <v>1</v>
      </c>
      <c r="L30" s="75" t="s">
        <v>77</v>
      </c>
    </row>
    <row r="31" spans="1:16" x14ac:dyDescent="0.2">
      <c r="B31" s="87" t="s">
        <v>78</v>
      </c>
      <c r="C31" s="87"/>
      <c r="D31" s="88" t="s">
        <v>79</v>
      </c>
      <c r="E31" s="87">
        <v>1</v>
      </c>
      <c r="F31" s="77">
        <v>19.89</v>
      </c>
      <c r="G31" s="77">
        <f t="shared" si="2"/>
        <v>19.89</v>
      </c>
      <c r="H31" s="87"/>
      <c r="I31" s="91" t="b">
        <v>1</v>
      </c>
      <c r="J31" s="90" t="s">
        <v>53</v>
      </c>
      <c r="K31" s="78" t="b">
        <v>0</v>
      </c>
      <c r="L31" s="92" t="s">
        <v>74</v>
      </c>
      <c r="M31" s="17"/>
      <c r="N31" s="17"/>
      <c r="O31" s="17"/>
      <c r="P31" s="17"/>
    </row>
    <row r="32" spans="1:16" s="17" customFormat="1" x14ac:dyDescent="0.2">
      <c r="A32"/>
      <c r="B32" s="87" t="s">
        <v>80</v>
      </c>
      <c r="C32" s="87"/>
      <c r="D32" s="88" t="s">
        <v>81</v>
      </c>
      <c r="E32" s="87">
        <v>1</v>
      </c>
      <c r="F32" s="89">
        <v>10.39</v>
      </c>
      <c r="G32" s="77">
        <f t="shared" si="2"/>
        <v>10.39</v>
      </c>
      <c r="H32" s="87"/>
      <c r="I32" s="91" t="b">
        <v>1</v>
      </c>
      <c r="J32" s="90" t="s">
        <v>53</v>
      </c>
      <c r="K32" s="78" t="b">
        <v>0</v>
      </c>
      <c r="L32" s="92" t="s">
        <v>77</v>
      </c>
      <c r="M32"/>
      <c r="N32"/>
      <c r="O32"/>
      <c r="P32"/>
    </row>
    <row r="33" spans="1:16" x14ac:dyDescent="0.2">
      <c r="A33" s="17"/>
      <c r="B33" s="75" t="s">
        <v>82</v>
      </c>
      <c r="C33" s="75"/>
      <c r="D33" s="76" t="s">
        <v>49</v>
      </c>
      <c r="E33" s="75">
        <v>1</v>
      </c>
      <c r="F33" s="77">
        <v>6.59</v>
      </c>
      <c r="G33" s="77">
        <f t="shared" si="2"/>
        <v>6.59</v>
      </c>
      <c r="H33" s="75"/>
      <c r="I33" s="78" t="b">
        <v>1</v>
      </c>
      <c r="J33" s="79">
        <v>46205</v>
      </c>
      <c r="K33" s="78" t="b">
        <v>1</v>
      </c>
      <c r="L33" s="85" t="s">
        <v>83</v>
      </c>
    </row>
    <row r="34" spans="1:16" s="17" customFormat="1" x14ac:dyDescent="0.2">
      <c r="A34"/>
      <c r="B34" s="75" t="s">
        <v>84</v>
      </c>
      <c r="C34" s="75" t="s">
        <v>85</v>
      </c>
      <c r="D34" s="76" t="s">
        <v>86</v>
      </c>
      <c r="E34" s="75">
        <v>1</v>
      </c>
      <c r="F34" s="77">
        <v>8.99</v>
      </c>
      <c r="G34" s="77">
        <f t="shared" si="2"/>
        <v>8.99</v>
      </c>
      <c r="H34" s="75"/>
      <c r="I34" s="78" t="b">
        <v>1</v>
      </c>
      <c r="J34" s="79">
        <v>46205</v>
      </c>
      <c r="K34" s="78" t="b">
        <v>1</v>
      </c>
      <c r="L34" s="85" t="s">
        <v>87</v>
      </c>
    </row>
    <row r="35" spans="1:16" s="14" customFormat="1" x14ac:dyDescent="0.2">
      <c r="A35" s="17"/>
      <c r="B35" s="96" t="s">
        <v>88</v>
      </c>
      <c r="C35" s="96"/>
      <c r="D35" s="97" t="s">
        <v>89</v>
      </c>
      <c r="E35" s="96">
        <v>1</v>
      </c>
      <c r="F35" s="93">
        <v>31.98</v>
      </c>
      <c r="G35" s="77">
        <f t="shared" si="2"/>
        <v>31.98</v>
      </c>
      <c r="H35" s="96"/>
      <c r="I35" s="98" t="b">
        <v>1</v>
      </c>
      <c r="J35" s="90" t="s">
        <v>53</v>
      </c>
      <c r="K35" s="98"/>
      <c r="L35" s="96" t="s">
        <v>90</v>
      </c>
    </row>
    <row r="36" spans="1:16" s="14" customFormat="1" x14ac:dyDescent="0.2">
      <c r="B36" s="96" t="s">
        <v>91</v>
      </c>
      <c r="C36" s="96"/>
      <c r="D36" s="97" t="s">
        <v>92</v>
      </c>
      <c r="E36" s="96">
        <v>1</v>
      </c>
      <c r="F36" s="93">
        <v>34.99</v>
      </c>
      <c r="G36" s="77">
        <f t="shared" si="2"/>
        <v>34.99</v>
      </c>
      <c r="H36" s="96"/>
      <c r="I36" s="98" t="b">
        <v>1</v>
      </c>
      <c r="J36" s="90" t="s">
        <v>53</v>
      </c>
      <c r="K36" s="98" t="b">
        <v>0</v>
      </c>
      <c r="L36" s="96" t="s">
        <v>93</v>
      </c>
    </row>
    <row r="37" spans="1:16" x14ac:dyDescent="0.2">
      <c r="B37" s="87" t="s">
        <v>88</v>
      </c>
      <c r="C37" s="87"/>
      <c r="D37" s="88" t="s">
        <v>94</v>
      </c>
      <c r="E37" s="87">
        <v>1</v>
      </c>
      <c r="F37" s="89">
        <v>19.989999999999998</v>
      </c>
      <c r="G37" s="77">
        <f t="shared" si="2"/>
        <v>19.989999999999998</v>
      </c>
      <c r="H37" s="87"/>
      <c r="I37" s="91" t="b">
        <v>1</v>
      </c>
      <c r="J37" s="90" t="s">
        <v>53</v>
      </c>
      <c r="K37" s="78" t="b">
        <v>0</v>
      </c>
      <c r="L37" s="92" t="s">
        <v>95</v>
      </c>
    </row>
    <row r="38" spans="1:16" x14ac:dyDescent="0.2">
      <c r="B38" s="75" t="s">
        <v>96</v>
      </c>
      <c r="C38" s="75"/>
      <c r="D38" s="76" t="s">
        <v>97</v>
      </c>
      <c r="E38" s="75">
        <v>1</v>
      </c>
      <c r="F38" s="77">
        <v>12.99</v>
      </c>
      <c r="G38" s="77">
        <f t="shared" si="2"/>
        <v>12.99</v>
      </c>
      <c r="H38" s="75"/>
      <c r="I38" s="78" t="b">
        <v>1</v>
      </c>
      <c r="J38" s="79">
        <v>46210</v>
      </c>
      <c r="K38" s="78" t="b">
        <v>1</v>
      </c>
      <c r="L38" s="85" t="s">
        <v>98</v>
      </c>
      <c r="M38" s="17"/>
      <c r="N38" s="17"/>
      <c r="O38" s="17"/>
      <c r="P38" s="17"/>
    </row>
    <row r="39" spans="1:16" x14ac:dyDescent="0.2">
      <c r="B39" s="87" t="s">
        <v>99</v>
      </c>
      <c r="C39" s="87"/>
      <c r="D39" s="88" t="s">
        <v>100</v>
      </c>
      <c r="E39" s="87">
        <v>1</v>
      </c>
      <c r="F39" s="89">
        <v>7.64</v>
      </c>
      <c r="G39" s="77">
        <f t="shared" si="2"/>
        <v>7.64</v>
      </c>
      <c r="H39" s="87"/>
      <c r="I39" s="91" t="b">
        <v>1</v>
      </c>
      <c r="J39" s="90" t="s">
        <v>53</v>
      </c>
      <c r="K39" s="78" t="b">
        <v>0</v>
      </c>
      <c r="L39" s="92" t="s">
        <v>93</v>
      </c>
    </row>
    <row r="40" spans="1:16" x14ac:dyDescent="0.2">
      <c r="B40" s="75" t="s">
        <v>101</v>
      </c>
      <c r="C40" s="75" t="s">
        <v>36</v>
      </c>
      <c r="D40" s="76" t="s">
        <v>102</v>
      </c>
      <c r="E40" s="75">
        <v>1</v>
      </c>
      <c r="F40" s="77">
        <v>8.5</v>
      </c>
      <c r="G40" s="77">
        <f t="shared" si="2"/>
        <v>8.5</v>
      </c>
      <c r="H40" s="75"/>
      <c r="I40" s="78" t="b">
        <v>1</v>
      </c>
      <c r="J40" s="79">
        <v>46210</v>
      </c>
      <c r="K40" s="78" t="b">
        <v>1</v>
      </c>
      <c r="L40" s="75" t="s">
        <v>103</v>
      </c>
    </row>
    <row r="41" spans="1:16" x14ac:dyDescent="0.2">
      <c r="B41" s="75" t="s">
        <v>104</v>
      </c>
      <c r="C41" s="75" t="s">
        <v>36</v>
      </c>
      <c r="D41" s="76" t="s">
        <v>105</v>
      </c>
      <c r="E41" s="75">
        <v>1</v>
      </c>
      <c r="F41" s="77">
        <v>9.18</v>
      </c>
      <c r="G41" s="77">
        <f t="shared" si="2"/>
        <v>9.18</v>
      </c>
      <c r="H41" s="75"/>
      <c r="I41" s="78" t="b">
        <v>1</v>
      </c>
      <c r="J41" s="79">
        <v>46210</v>
      </c>
      <c r="K41" s="78" t="b">
        <v>1</v>
      </c>
      <c r="L41" s="85" t="s">
        <v>106</v>
      </c>
    </row>
    <row r="42" spans="1:16" s="17" customFormat="1" x14ac:dyDescent="0.2">
      <c r="A42"/>
      <c r="B42" s="99" t="s">
        <v>107</v>
      </c>
      <c r="C42" s="87"/>
      <c r="D42" s="100" t="s">
        <v>108</v>
      </c>
      <c r="E42" s="87">
        <v>1</v>
      </c>
      <c r="F42" s="89">
        <v>17.39</v>
      </c>
      <c r="G42" s="77">
        <f t="shared" si="2"/>
        <v>17.39</v>
      </c>
      <c r="H42" s="87"/>
      <c r="I42" s="91" t="b">
        <v>1</v>
      </c>
      <c r="J42" s="101" t="s">
        <v>53</v>
      </c>
      <c r="K42" s="91" t="b">
        <v>0</v>
      </c>
      <c r="L42" s="92" t="s">
        <v>109</v>
      </c>
      <c r="M42"/>
    </row>
    <row r="43" spans="1:16" x14ac:dyDescent="0.2">
      <c r="B43" s="103" t="s">
        <v>110</v>
      </c>
      <c r="C43" s="75"/>
      <c r="D43" s="76" t="s">
        <v>111</v>
      </c>
      <c r="E43" s="75">
        <v>1</v>
      </c>
      <c r="F43" s="77">
        <v>29.99</v>
      </c>
      <c r="G43" s="77">
        <f t="shared" si="2"/>
        <v>29.99</v>
      </c>
      <c r="H43" s="75"/>
      <c r="I43" s="91" t="b">
        <v>1</v>
      </c>
      <c r="J43" s="90" t="s">
        <v>53</v>
      </c>
      <c r="K43" s="91" t="b">
        <v>0</v>
      </c>
      <c r="L43" s="104" t="s">
        <v>109</v>
      </c>
    </row>
    <row r="44" spans="1:16" ht="16" thickBot="1" x14ac:dyDescent="0.25">
      <c r="B44" s="105" t="s">
        <v>112</v>
      </c>
      <c r="C44" s="70"/>
      <c r="D44" s="71" t="s">
        <v>113</v>
      </c>
      <c r="E44" s="70">
        <v>1</v>
      </c>
      <c r="F44" s="72">
        <v>18.989999999999998</v>
      </c>
      <c r="G44" s="77">
        <v>18.989999999999998</v>
      </c>
      <c r="H44" s="70"/>
      <c r="I44" s="73" t="b">
        <v>1</v>
      </c>
      <c r="J44" s="106">
        <f ca="1">IF(I44, TODAY(),)</f>
        <v>46239</v>
      </c>
      <c r="K44" s="73" t="b">
        <v>1</v>
      </c>
      <c r="L44" s="83" t="s">
        <v>114</v>
      </c>
    </row>
    <row r="45" spans="1:16" ht="15.75" customHeight="1" thickTop="1" thickBot="1" x14ac:dyDescent="0.25">
      <c r="B45" s="59" t="s">
        <v>115</v>
      </c>
      <c r="C45" s="60"/>
      <c r="D45" s="60"/>
      <c r="E45" s="60"/>
      <c r="F45" s="60"/>
      <c r="G45" s="60"/>
      <c r="H45" s="61"/>
      <c r="I45" s="61"/>
      <c r="J45" s="62"/>
      <c r="K45" s="60"/>
      <c r="L45" s="62"/>
    </row>
    <row r="46" spans="1:16" ht="16" thickTop="1" x14ac:dyDescent="0.2">
      <c r="B46" s="63" t="s">
        <v>116</v>
      </c>
      <c r="C46" s="63"/>
      <c r="D46" s="64" t="s">
        <v>117</v>
      </c>
      <c r="E46" s="63">
        <v>4</v>
      </c>
      <c r="F46" s="65">
        <v>25.58</v>
      </c>
      <c r="G46" s="65">
        <f t="shared" ref="G46:G56" si="3">E46*F46</f>
        <v>102.32</v>
      </c>
      <c r="H46" s="63"/>
      <c r="I46" s="66" t="b">
        <v>1</v>
      </c>
      <c r="J46" s="67">
        <v>46210</v>
      </c>
      <c r="K46" s="66" t="b">
        <v>1</v>
      </c>
      <c r="L46" s="81" t="s">
        <v>118</v>
      </c>
      <c r="M46" s="17"/>
    </row>
    <row r="47" spans="1:16" ht="15.75" customHeight="1" x14ac:dyDescent="0.2">
      <c r="B47" s="107" t="s">
        <v>119</v>
      </c>
      <c r="C47" s="75"/>
      <c r="D47" s="76" t="s">
        <v>120</v>
      </c>
      <c r="E47" s="96">
        <v>2</v>
      </c>
      <c r="F47" s="93">
        <v>27.99</v>
      </c>
      <c r="G47" s="72">
        <f t="shared" si="3"/>
        <v>55.98</v>
      </c>
      <c r="H47" s="96"/>
      <c r="I47" s="98" t="b">
        <v>1</v>
      </c>
      <c r="J47" s="101">
        <v>46210</v>
      </c>
      <c r="K47" s="98" t="b">
        <v>1</v>
      </c>
      <c r="L47" s="75" t="s">
        <v>121</v>
      </c>
    </row>
    <row r="48" spans="1:16" x14ac:dyDescent="0.2">
      <c r="B48" s="107" t="s">
        <v>122</v>
      </c>
      <c r="C48" s="75"/>
      <c r="D48" s="76" t="s">
        <v>123</v>
      </c>
      <c r="E48" s="96">
        <v>1</v>
      </c>
      <c r="F48" s="93">
        <v>26.99</v>
      </c>
      <c r="G48" s="72">
        <f t="shared" si="3"/>
        <v>26.99</v>
      </c>
      <c r="H48" s="96"/>
      <c r="I48" s="98" t="b">
        <v>1</v>
      </c>
      <c r="J48" s="101">
        <v>46210</v>
      </c>
      <c r="K48" s="98" t="b">
        <v>1</v>
      </c>
      <c r="L48" s="75" t="s">
        <v>124</v>
      </c>
      <c r="M48" s="17"/>
    </row>
    <row r="49" spans="2:13" x14ac:dyDescent="0.2">
      <c r="B49" s="107" t="s">
        <v>125</v>
      </c>
      <c r="C49" s="75"/>
      <c r="D49" s="76" t="s">
        <v>126</v>
      </c>
      <c r="E49" s="96">
        <v>1</v>
      </c>
      <c r="F49" s="93">
        <v>37.21</v>
      </c>
      <c r="G49" s="72">
        <f t="shared" si="3"/>
        <v>37.21</v>
      </c>
      <c r="H49" s="96"/>
      <c r="I49" s="98" t="b">
        <v>1</v>
      </c>
      <c r="J49" s="101">
        <v>46210</v>
      </c>
      <c r="K49" s="98" t="b">
        <v>1</v>
      </c>
      <c r="L49" s="75" t="s">
        <v>127</v>
      </c>
    </row>
    <row r="50" spans="2:13" x14ac:dyDescent="0.2">
      <c r="B50" s="107" t="s">
        <v>128</v>
      </c>
      <c r="C50" s="75"/>
      <c r="D50" s="76" t="s">
        <v>129</v>
      </c>
      <c r="E50" s="96">
        <v>1</v>
      </c>
      <c r="F50" s="93">
        <v>8.99</v>
      </c>
      <c r="G50" s="72">
        <f t="shared" si="3"/>
        <v>8.99</v>
      </c>
      <c r="H50" s="96"/>
      <c r="I50" s="98" t="b">
        <v>1</v>
      </c>
      <c r="J50" s="101">
        <v>46210</v>
      </c>
      <c r="K50" s="98" t="b">
        <v>1</v>
      </c>
      <c r="L50" s="75" t="s">
        <v>130</v>
      </c>
    </row>
    <row r="51" spans="2:13" x14ac:dyDescent="0.2">
      <c r="B51" s="107" t="s">
        <v>131</v>
      </c>
      <c r="C51" s="75"/>
      <c r="D51" s="76" t="s">
        <v>132</v>
      </c>
      <c r="E51" s="96">
        <v>2</v>
      </c>
      <c r="F51" s="93">
        <v>9.99</v>
      </c>
      <c r="G51" s="72">
        <f t="shared" si="3"/>
        <v>19.98</v>
      </c>
      <c r="H51" s="96"/>
      <c r="I51" s="98" t="b">
        <v>1</v>
      </c>
      <c r="J51" s="101">
        <v>46210</v>
      </c>
      <c r="K51" s="98" t="b">
        <v>1</v>
      </c>
      <c r="L51" s="75" t="s">
        <v>133</v>
      </c>
    </row>
    <row r="52" spans="2:13" s="14" customFormat="1" x14ac:dyDescent="0.2">
      <c r="B52" s="158" t="s">
        <v>134</v>
      </c>
      <c r="C52" s="158"/>
      <c r="D52" s="159" t="s">
        <v>135</v>
      </c>
      <c r="E52" s="158">
        <v>1</v>
      </c>
      <c r="F52" s="160">
        <v>13</v>
      </c>
      <c r="G52" s="162">
        <f t="shared" si="3"/>
        <v>13</v>
      </c>
      <c r="H52" s="158"/>
      <c r="I52" s="161" t="b">
        <v>1</v>
      </c>
      <c r="J52" s="163" t="s">
        <v>53</v>
      </c>
      <c r="K52" s="161" t="b">
        <v>0</v>
      </c>
      <c r="L52" s="158" t="s">
        <v>136</v>
      </c>
      <c r="M52"/>
    </row>
    <row r="53" spans="2:13" x14ac:dyDescent="0.2">
      <c r="B53" s="103" t="s">
        <v>137</v>
      </c>
      <c r="C53" s="75"/>
      <c r="D53" s="76" t="s">
        <v>138</v>
      </c>
      <c r="E53" s="75">
        <v>1</v>
      </c>
      <c r="F53" s="77">
        <v>8.5399999999999991</v>
      </c>
      <c r="G53" s="72">
        <f t="shared" si="3"/>
        <v>8.5399999999999991</v>
      </c>
      <c r="H53" s="75"/>
      <c r="I53" s="91" t="b">
        <v>1</v>
      </c>
      <c r="J53" s="108">
        <v>46213</v>
      </c>
      <c r="K53" s="91" t="b">
        <v>1</v>
      </c>
      <c r="L53" s="75" t="s">
        <v>136</v>
      </c>
    </row>
    <row r="54" spans="2:13" x14ac:dyDescent="0.2">
      <c r="B54" s="103" t="s">
        <v>139</v>
      </c>
      <c r="C54" s="75"/>
      <c r="D54" s="76" t="s">
        <v>140</v>
      </c>
      <c r="E54" s="75">
        <v>1</v>
      </c>
      <c r="F54" s="77">
        <v>19.989999999999998</v>
      </c>
      <c r="G54" s="72">
        <f t="shared" si="3"/>
        <v>19.989999999999998</v>
      </c>
      <c r="H54" s="75"/>
      <c r="I54" s="91" t="b">
        <v>1</v>
      </c>
      <c r="J54" s="108">
        <v>46213</v>
      </c>
      <c r="K54" s="91" t="b">
        <v>1</v>
      </c>
      <c r="L54" s="75" t="s">
        <v>141</v>
      </c>
    </row>
    <row r="55" spans="2:13" x14ac:dyDescent="0.2">
      <c r="B55" s="103" t="s">
        <v>142</v>
      </c>
      <c r="C55" s="75"/>
      <c r="D55" s="76" t="s">
        <v>143</v>
      </c>
      <c r="E55" s="75">
        <v>2</v>
      </c>
      <c r="F55" s="77">
        <v>8.5399999999999991</v>
      </c>
      <c r="G55" s="72">
        <f t="shared" si="3"/>
        <v>17.079999999999998</v>
      </c>
      <c r="H55" s="75"/>
      <c r="I55" s="91" t="b">
        <v>1</v>
      </c>
      <c r="J55" s="108">
        <v>46213</v>
      </c>
      <c r="K55" s="91" t="b">
        <v>1</v>
      </c>
      <c r="L55" s="75" t="s">
        <v>144</v>
      </c>
    </row>
    <row r="56" spans="2:13" x14ac:dyDescent="0.2">
      <c r="B56" s="103" t="s">
        <v>145</v>
      </c>
      <c r="C56" s="75"/>
      <c r="D56" s="76" t="s">
        <v>146</v>
      </c>
      <c r="E56" s="75">
        <v>4</v>
      </c>
      <c r="F56" s="77">
        <v>8.09</v>
      </c>
      <c r="G56" s="72">
        <f t="shared" si="3"/>
        <v>32.36</v>
      </c>
      <c r="H56" s="75"/>
      <c r="I56" s="91" t="b">
        <v>1</v>
      </c>
      <c r="J56" s="108">
        <v>46213</v>
      </c>
      <c r="K56" s="91" t="b">
        <v>1</v>
      </c>
      <c r="L56" s="75" t="s">
        <v>147</v>
      </c>
    </row>
    <row r="57" spans="2:13" ht="16" thickBot="1" x14ac:dyDescent="0.25">
      <c r="B57" s="102" t="s">
        <v>148</v>
      </c>
      <c r="C57" s="70"/>
      <c r="D57" s="71" t="s">
        <v>149</v>
      </c>
      <c r="E57" s="70">
        <v>1</v>
      </c>
      <c r="F57" s="72">
        <v>10.79</v>
      </c>
      <c r="G57" s="72">
        <f t="shared" ref="G57" si="4">E57*F57</f>
        <v>10.79</v>
      </c>
      <c r="H57" s="70"/>
      <c r="I57" s="86" t="b">
        <v>1</v>
      </c>
      <c r="J57" s="108">
        <v>46213</v>
      </c>
      <c r="K57" s="86" t="b">
        <v>1</v>
      </c>
      <c r="L57" s="70" t="s">
        <v>150</v>
      </c>
    </row>
    <row r="58" spans="2:13" ht="15.75" customHeight="1" thickTop="1" thickBot="1" x14ac:dyDescent="0.25">
      <c r="B58" s="59" t="s">
        <v>151</v>
      </c>
      <c r="C58" s="60"/>
      <c r="D58" s="60"/>
      <c r="E58" s="60"/>
      <c r="F58" s="60"/>
      <c r="G58" s="60"/>
      <c r="H58" s="60"/>
      <c r="I58" s="60"/>
      <c r="J58" s="62"/>
      <c r="K58" s="60"/>
      <c r="L58" s="60"/>
    </row>
    <row r="59" spans="2:13" x14ac:dyDescent="0.2">
      <c r="B59" s="63" t="s">
        <v>152</v>
      </c>
      <c r="C59" s="63"/>
      <c r="D59" s="63"/>
      <c r="E59" s="63">
        <v>1</v>
      </c>
      <c r="F59" s="65"/>
      <c r="G59" s="65">
        <f>E59*F59</f>
        <v>0</v>
      </c>
      <c r="H59" s="63"/>
      <c r="I59" s="66" t="b">
        <v>0</v>
      </c>
      <c r="J59" s="67">
        <f ca="1">IF(I59, TODAY(),)</f>
        <v>0</v>
      </c>
      <c r="K59" s="66" t="b">
        <v>0</v>
      </c>
      <c r="L59" s="109" t="s">
        <v>153</v>
      </c>
    </row>
    <row r="60" spans="2:13" x14ac:dyDescent="0.2">
      <c r="B60" s="75" t="s">
        <v>154</v>
      </c>
      <c r="C60" s="75"/>
      <c r="D60" s="75"/>
      <c r="E60" s="75">
        <v>1</v>
      </c>
      <c r="F60" s="77"/>
      <c r="G60" s="77">
        <f>E60*F60</f>
        <v>0</v>
      </c>
      <c r="H60" s="75"/>
      <c r="I60" s="78" t="b">
        <v>0</v>
      </c>
      <c r="J60" s="79">
        <f ca="1">IF(I60, TODAY(),)</f>
        <v>0</v>
      </c>
      <c r="K60" s="78" t="b">
        <v>0</v>
      </c>
      <c r="L60" s="96" t="s">
        <v>155</v>
      </c>
    </row>
    <row r="61" spans="2:13" x14ac:dyDescent="0.2">
      <c r="B61" s="82" t="s">
        <v>156</v>
      </c>
      <c r="C61" s="70"/>
      <c r="D61" s="70"/>
      <c r="E61" s="70">
        <v>1</v>
      </c>
      <c r="F61" s="72"/>
      <c r="G61" s="72">
        <f>E61*F61</f>
        <v>0</v>
      </c>
      <c r="H61" s="70"/>
      <c r="I61" s="73" t="b">
        <v>0</v>
      </c>
      <c r="J61" s="74">
        <f ca="1">IF(I61, TODAY(),)</f>
        <v>0</v>
      </c>
      <c r="K61" s="73" t="b">
        <v>0</v>
      </c>
      <c r="L61" s="95" t="s">
        <v>157</v>
      </c>
    </row>
    <row r="62" spans="2:13" x14ac:dyDescent="0.2">
      <c r="B62" s="55"/>
      <c r="C62" s="56"/>
      <c r="D62" s="56"/>
      <c r="E62" s="56"/>
      <c r="F62" s="57"/>
      <c r="G62" s="57"/>
      <c r="H62" s="56"/>
      <c r="I62" s="56"/>
      <c r="J62" s="58"/>
      <c r="K62" s="56"/>
      <c r="L62" s="56"/>
    </row>
    <row r="63" spans="2:13" x14ac:dyDescent="0.2">
      <c r="G63" s="12">
        <f ca="1">SUMIFS(G7:G61,J7:J61,"&gt;0")</f>
        <v>1652.2899999999997</v>
      </c>
    </row>
  </sheetData>
  <conditionalFormatting sqref="B7:L63">
    <cfRule type="expression" dxfId="12" priority="1" stopIfTrue="1">
      <formula>$K7=TRUE</formula>
    </cfRule>
    <cfRule type="expression" dxfId="11" priority="2" stopIfTrue="1">
      <formula>$J7="BLOCKED"</formula>
    </cfRule>
    <cfRule type="expression" dxfId="10" priority="3">
      <formula>$I7=TRUE</formula>
    </cfRule>
  </conditionalFormatting>
  <hyperlinks>
    <hyperlink ref="D7" r:id="rId1" location="Tab_Description" xr:uid="{67F51B68-8063-4D5D-9413-4885A88A38C6}"/>
    <hyperlink ref="D8" r:id="rId2" xr:uid="{9423F2C3-E141-442B-B8A6-7848E9D95CBD}"/>
    <hyperlink ref="D9" r:id="rId3" location="Tab_Description" xr:uid="{DCD69568-709D-43F9-AE10-BB11D4F6D12B}"/>
    <hyperlink ref="D10" r:id="rId4" xr:uid="{82C892D5-80C8-48FB-AFD9-720D6DEDF4FC}"/>
    <hyperlink ref="D15" r:id="rId5" display="https://www.ebay.com/itm/377218636750?chn=ps&amp;norover=1&amp;mkevt=1&amp;mkrid=711-166974-028196-7&amp;mkcid=2&amp;mkscid=101&amp;itemid=377218636750&amp;targetid=2274951440814&amp;device=c&amp;mktype=pla_with_promotion&amp;googleloc=9016722&amp;poi=&amp;campaignid=23919180199&amp;mkgroupid=202907208211&amp;rlsatarget=pla-2274951440814&amp;abcId=10729771&amp;merchantid=5785102944&amp;geoid=9016722&amp;gad_source=1&amp;gad_campaignid=23919180199&amp;gbraid=0AAAAAD_QDh-P4jhleldk4VloXtDlp9cji&amp;gclid=CjwKCAjw3ejRBhAdEiwADkqPn8PTlhVm8a4VWXO2eQnNUB42BWNIHEt-cRDCs5dJbVjO3l6Aklh4sxoCoTQQAvD_BwE" xr:uid="{A96D1320-3B36-4CC1-A0E4-867ED7ACA1FA}"/>
    <hyperlink ref="D11" r:id="rId6" xr:uid="{A37A92DF-A875-4877-A605-EF2AC9E32B48}"/>
    <hyperlink ref="D17" r:id="rId7" xr:uid="{A4F9D94B-FBAD-4236-A6AA-F34D8B4A2C7B}"/>
    <hyperlink ref="D19" r:id="rId8" xr:uid="{0DF74BAB-2EF6-480C-B440-8E0035709979}"/>
    <hyperlink ref="D31" r:id="rId9" xr:uid="{34AF5B68-581A-4764-BE31-3F99E062685E}"/>
    <hyperlink ref="D20" r:id="rId10" xr:uid="{621D257F-FFA6-D24E-A6D9-F10BEF3F3518}"/>
    <hyperlink ref="D34" r:id="rId11" xr:uid="{41D659A0-84CF-F546-BAB4-7515305C2640}"/>
    <hyperlink ref="D18" r:id="rId12" xr:uid="{27BF2F30-8382-4A52-B57A-0B661A6CFA7B}"/>
    <hyperlink ref="D33" r:id="rId13" xr:uid="{31C5EF9F-AB3A-40B4-AFBA-FA7224B3DF38}"/>
    <hyperlink ref="D26" r:id="rId14" xr:uid="{6288C59A-48D3-420B-A628-2789442E5A1C}"/>
    <hyperlink ref="D21" r:id="rId15" xr:uid="{9EA98456-F38F-4DD4-8D2C-4ED8803A2E00}"/>
    <hyperlink ref="D23" r:id="rId16" xr:uid="{8141D82F-2EE5-4908-9EA9-010B3AE60C3A}"/>
    <hyperlink ref="D37" r:id="rId17" xr:uid="{2738A1FC-28B0-4E1F-9C0A-A416ADE3690B}"/>
    <hyperlink ref="D39" r:id="rId18" xr:uid="{67C62E3C-D0CA-4692-B936-CD046CAD5BB5}"/>
    <hyperlink ref="D52" r:id="rId19" xr:uid="{F0A55778-0B42-48D9-8538-648242CF04BC}"/>
    <hyperlink ref="D51" r:id="rId20" xr:uid="{B5FF1084-0918-4742-BEDE-E77C311C2017}"/>
    <hyperlink ref="D46" r:id="rId21" xr:uid="{A4A8235F-EAFA-4C3B-81CC-363F95CE2118}"/>
    <hyperlink ref="D41" r:id="rId22" xr:uid="{8D4ECF17-B26B-0444-938E-379C348B5683}"/>
    <hyperlink ref="D40" r:id="rId23" xr:uid="{9FE014AA-E883-4290-A3B2-A369BAFB2EC2}"/>
    <hyperlink ref="D48" r:id="rId24" xr:uid="{14D713BA-D2B1-4603-B5C9-928FCFB23604}"/>
    <hyperlink ref="D38" r:id="rId25" xr:uid="{8BDE7FEF-5A9C-4877-844E-D4566B04A8B3}"/>
    <hyperlink ref="D47" r:id="rId26" xr:uid="{07E3F28C-0632-4261-8A1C-60B7EA9C0D0F}"/>
    <hyperlink ref="D49" r:id="rId27" xr:uid="{6B0E0A07-256B-46B7-9F38-370237CE9BE4}"/>
    <hyperlink ref="D50" r:id="rId28" xr:uid="{39C8F951-7537-4215-9B72-3074BF243FC7}"/>
    <hyperlink ref="D42" r:id="rId29" xr:uid="{9C85C351-8C30-4FA7-93EC-C1BDEF993A7E}"/>
    <hyperlink ref="D32" r:id="rId30" xr:uid="{D6114006-AEF0-4EA1-A895-B9CF607E05E6}"/>
    <hyperlink ref="D29" r:id="rId31" xr:uid="{A283D4BC-5485-4ED5-9792-97DBAD826DEC}"/>
    <hyperlink ref="D44" r:id="rId32" xr:uid="{ACAC3207-DD82-46C0-85DD-98FB489B3F5C}"/>
    <hyperlink ref="D30" r:id="rId33" xr:uid="{400FCB78-C6FF-44F2-8E45-38DF05673386}"/>
    <hyperlink ref="D35" r:id="rId34" xr:uid="{6D6D7646-8018-4377-902B-9F23F02D4864}"/>
    <hyperlink ref="D36" r:id="rId35" xr:uid="{FA3F9437-D80F-41EF-86AA-6F25F8D239A4}"/>
    <hyperlink ref="D43" r:id="rId36" xr:uid="{4DD3D760-54EF-4D8F-895D-07348FA67878}"/>
    <hyperlink ref="D55" r:id="rId37" xr:uid="{101D796F-38A0-4238-AD2A-45EEC1B81DA0}"/>
    <hyperlink ref="D56" r:id="rId38" xr:uid="{517921FF-8C5C-488F-B6A1-EF7B40FE6B78}"/>
    <hyperlink ref="D57" r:id="rId39" xr:uid="{821C43D2-BE96-4A24-A37E-EC85537DBB58}"/>
    <hyperlink ref="D53" r:id="rId40" xr:uid="{9543715F-C1ED-4503-87E1-5AFB9071A20E}"/>
    <hyperlink ref="D54" r:id="rId41" xr:uid="{52586AD1-D88A-4C26-9972-7AC8AC1F352A}"/>
    <hyperlink ref="D24" r:id="rId42" xr:uid="{8BB883E4-B0E6-0240-8D39-AE2A142F9E19}"/>
    <hyperlink ref="D16" r:id="rId43" xr:uid="{E0C89240-4A80-4307-A971-7F5DAF2AD6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A0FF-D9F2-F347-8766-C3C1BC7BE4BA}">
  <dimension ref="A1:H50"/>
  <sheetViews>
    <sheetView workbookViewId="0">
      <pane ySplit="1" topLeftCell="A2" activePane="bottomLeft" state="frozen"/>
      <selection pane="bottomLeft" activeCell="A21" sqref="A21"/>
    </sheetView>
  </sheetViews>
  <sheetFormatPr baseColWidth="10" defaultColWidth="11.5" defaultRowHeight="15" x14ac:dyDescent="0.2"/>
  <cols>
    <col min="1" max="1" width="5" customWidth="1"/>
    <col min="2" max="2" width="36.6640625" customWidth="1"/>
    <col min="3" max="3" width="21.6640625" customWidth="1"/>
    <col min="4" max="5" width="18.33203125" customWidth="1"/>
    <col min="6" max="6" width="16.6640625" customWidth="1"/>
    <col min="7" max="7" width="13.33203125" customWidth="1"/>
    <col min="8" max="8" width="33.33203125" customWidth="1"/>
  </cols>
  <sheetData>
    <row r="1" spans="1:8" ht="28" customHeight="1" thickBot="1" x14ac:dyDescent="0.25">
      <c r="A1" s="125" t="s">
        <v>158</v>
      </c>
      <c r="B1" s="126" t="s">
        <v>159</v>
      </c>
      <c r="C1" s="126" t="s">
        <v>160</v>
      </c>
      <c r="D1" s="127" t="s">
        <v>161</v>
      </c>
      <c r="E1" s="127" t="s">
        <v>162</v>
      </c>
      <c r="F1" s="127" t="s">
        <v>163</v>
      </c>
      <c r="G1" s="127" t="s">
        <v>164</v>
      </c>
      <c r="H1" s="128" t="s">
        <v>165</v>
      </c>
    </row>
    <row r="2" spans="1:8" ht="24" customHeight="1" x14ac:dyDescent="0.2">
      <c r="A2" s="129" t="s">
        <v>158</v>
      </c>
      <c r="B2" s="130" t="s">
        <v>166</v>
      </c>
      <c r="C2" s="131" t="s">
        <v>167</v>
      </c>
      <c r="D2" s="132">
        <v>46204</v>
      </c>
      <c r="E2" s="132">
        <v>46210</v>
      </c>
      <c r="F2" s="133" t="str">
        <f ca="1">IF(A2="✓","Done",IF(E2="","New",IF(E2&lt;TODAY(),"Overdue",IF(E2&lt;=TODAY()+3,"Due Soon","New"))))</f>
        <v>Done</v>
      </c>
      <c r="G2" s="131" t="s">
        <v>168</v>
      </c>
      <c r="H2" s="134" t="s">
        <v>169</v>
      </c>
    </row>
    <row r="3" spans="1:8" ht="24" customHeight="1" x14ac:dyDescent="0.2">
      <c r="A3" s="135"/>
      <c r="B3" s="136" t="s">
        <v>170</v>
      </c>
      <c r="C3" s="137" t="s">
        <v>171</v>
      </c>
      <c r="D3" s="138">
        <v>46207</v>
      </c>
      <c r="E3" s="138">
        <v>46219</v>
      </c>
      <c r="F3" s="139" t="str">
        <f ca="1">IF(A3="✓","Done",IF(E3="","New",IF(E3&lt;TODAY(),"Overdue",IF(E3&lt;=TODAY()+3,"Due Soon","New"))))</f>
        <v>Overdue</v>
      </c>
      <c r="G3" s="137" t="s">
        <v>172</v>
      </c>
      <c r="H3" s="140"/>
    </row>
    <row r="4" spans="1:8" ht="24" customHeight="1" x14ac:dyDescent="0.2">
      <c r="A4" s="141"/>
      <c r="B4" s="142"/>
      <c r="C4" s="143"/>
      <c r="D4" s="144"/>
      <c r="E4" s="144"/>
      <c r="F4" s="145"/>
      <c r="G4" s="143"/>
      <c r="H4" s="146"/>
    </row>
    <row r="5" spans="1:8" ht="24" customHeight="1" x14ac:dyDescent="0.2">
      <c r="A5" s="135" t="s">
        <v>158</v>
      </c>
      <c r="B5" s="153" t="s">
        <v>173</v>
      </c>
      <c r="C5" s="154" t="s">
        <v>174</v>
      </c>
      <c r="D5" s="155">
        <v>46200</v>
      </c>
      <c r="E5" s="155">
        <v>46207</v>
      </c>
      <c r="F5" s="156" t="str">
        <f t="shared" ref="F5:F50" ca="1" si="0">IF(A5="✓","Done",IF(E5="","New",IF(E5&lt;TODAY(),"Overdue",IF(E5&lt;=TODAY()+3,"Due Soon","New"))))</f>
        <v>Done</v>
      </c>
      <c r="G5" s="154" t="s">
        <v>175</v>
      </c>
      <c r="H5" s="157" t="s">
        <v>176</v>
      </c>
    </row>
    <row r="6" spans="1:8" ht="24" customHeight="1" x14ac:dyDescent="0.2">
      <c r="A6" s="141"/>
      <c r="B6" s="142" t="s">
        <v>177</v>
      </c>
      <c r="C6" s="143" t="s">
        <v>178</v>
      </c>
      <c r="D6" s="144">
        <v>46209</v>
      </c>
      <c r="E6" s="144">
        <v>46217</v>
      </c>
      <c r="F6" s="145" t="str">
        <f t="shared" ca="1" si="0"/>
        <v>Overdue</v>
      </c>
      <c r="G6" s="143" t="s">
        <v>172</v>
      </c>
      <c r="H6" s="146" t="s">
        <v>179</v>
      </c>
    </row>
    <row r="7" spans="1:8" ht="24" customHeight="1" x14ac:dyDescent="0.2">
      <c r="A7" s="135" t="s">
        <v>158</v>
      </c>
      <c r="B7" s="136" t="s">
        <v>180</v>
      </c>
      <c r="C7" s="137" t="s">
        <v>181</v>
      </c>
      <c r="D7" s="144">
        <v>46217</v>
      </c>
      <c r="E7" s="144">
        <v>46219</v>
      </c>
      <c r="F7" s="139" t="str">
        <f t="shared" ca="1" si="0"/>
        <v>Done</v>
      </c>
      <c r="G7" s="137" t="s">
        <v>168</v>
      </c>
      <c r="H7" s="140"/>
    </row>
    <row r="8" spans="1:8" ht="24" customHeight="1" x14ac:dyDescent="0.2">
      <c r="A8" s="141" t="s">
        <v>158</v>
      </c>
      <c r="B8" s="142" t="s">
        <v>182</v>
      </c>
      <c r="C8" s="143" t="s">
        <v>167</v>
      </c>
      <c r="D8" s="144">
        <v>46220</v>
      </c>
      <c r="E8" s="164">
        <v>46225</v>
      </c>
      <c r="F8" s="145" t="str">
        <f t="shared" ca="1" si="0"/>
        <v>Done</v>
      </c>
      <c r="G8" s="143"/>
      <c r="H8" s="146" t="s">
        <v>183</v>
      </c>
    </row>
    <row r="9" spans="1:8" ht="24" customHeight="1" x14ac:dyDescent="0.2">
      <c r="A9" s="135" t="s">
        <v>158</v>
      </c>
      <c r="B9" s="136" t="s">
        <v>184</v>
      </c>
      <c r="C9" s="137" t="s">
        <v>167</v>
      </c>
      <c r="D9" s="164">
        <v>46220</v>
      </c>
      <c r="E9" s="164">
        <v>46225</v>
      </c>
      <c r="F9" s="139" t="str">
        <f t="shared" ca="1" si="0"/>
        <v>Done</v>
      </c>
      <c r="G9" s="137"/>
      <c r="H9" s="140" t="s">
        <v>183</v>
      </c>
    </row>
    <row r="10" spans="1:8" ht="24" customHeight="1" x14ac:dyDescent="0.2">
      <c r="A10" s="141" t="s">
        <v>158</v>
      </c>
      <c r="B10" s="142" t="s">
        <v>185</v>
      </c>
      <c r="C10" s="143" t="s">
        <v>167</v>
      </c>
      <c r="D10" s="164">
        <v>46220</v>
      </c>
      <c r="E10" s="164">
        <v>46225</v>
      </c>
      <c r="F10" s="145" t="str">
        <f t="shared" ca="1" si="0"/>
        <v>Done</v>
      </c>
      <c r="G10" s="143"/>
      <c r="H10" s="146" t="s">
        <v>183</v>
      </c>
    </row>
    <row r="11" spans="1:8" ht="24" customHeight="1" x14ac:dyDescent="0.2">
      <c r="A11" s="135" t="s">
        <v>158</v>
      </c>
      <c r="B11" s="136" t="s">
        <v>186</v>
      </c>
      <c r="C11" s="137" t="s">
        <v>167</v>
      </c>
      <c r="D11" s="164">
        <v>46220</v>
      </c>
      <c r="E11" s="164">
        <v>46225</v>
      </c>
      <c r="F11" s="139" t="str">
        <f t="shared" ca="1" si="0"/>
        <v>Done</v>
      </c>
      <c r="G11" s="137"/>
      <c r="H11" s="140" t="s">
        <v>183</v>
      </c>
    </row>
    <row r="12" spans="1:8" ht="24" customHeight="1" x14ac:dyDescent="0.2">
      <c r="A12" s="141" t="s">
        <v>158</v>
      </c>
      <c r="B12" s="142" t="s">
        <v>187</v>
      </c>
      <c r="C12" s="143" t="s">
        <v>167</v>
      </c>
      <c r="D12" s="164">
        <v>46220</v>
      </c>
      <c r="E12" s="164">
        <v>46225</v>
      </c>
      <c r="F12" s="145" t="str">
        <f t="shared" ca="1" si="0"/>
        <v>Done</v>
      </c>
      <c r="G12" s="143"/>
      <c r="H12" s="146" t="s">
        <v>183</v>
      </c>
    </row>
    <row r="13" spans="1:8" ht="24" customHeight="1" x14ac:dyDescent="0.2">
      <c r="A13" s="135" t="s">
        <v>158</v>
      </c>
      <c r="B13" s="136" t="s">
        <v>188</v>
      </c>
      <c r="C13" s="137" t="s">
        <v>167</v>
      </c>
      <c r="D13" s="164">
        <v>46220</v>
      </c>
      <c r="E13" s="164">
        <v>46225</v>
      </c>
      <c r="F13" s="139" t="str">
        <f t="shared" ca="1" si="0"/>
        <v>Done</v>
      </c>
      <c r="G13" s="137"/>
      <c r="H13" s="140" t="s">
        <v>183</v>
      </c>
    </row>
    <row r="14" spans="1:8" ht="24" customHeight="1" x14ac:dyDescent="0.2">
      <c r="A14" s="141"/>
      <c r="B14" s="142" t="s">
        <v>189</v>
      </c>
      <c r="C14" s="143" t="s">
        <v>167</v>
      </c>
      <c r="D14" s="164">
        <v>46220</v>
      </c>
      <c r="E14" s="164">
        <v>46225</v>
      </c>
      <c r="F14" s="145" t="str">
        <f t="shared" ca="1" si="0"/>
        <v>Overdue</v>
      </c>
      <c r="G14" s="143"/>
      <c r="H14" s="146" t="s">
        <v>183</v>
      </c>
    </row>
    <row r="15" spans="1:8" ht="24" customHeight="1" x14ac:dyDescent="0.2">
      <c r="A15" s="135"/>
      <c r="B15" s="136" t="s">
        <v>190</v>
      </c>
      <c r="C15" s="137" t="s">
        <v>167</v>
      </c>
      <c r="D15" s="164">
        <v>46220</v>
      </c>
      <c r="E15" s="164">
        <v>46225</v>
      </c>
      <c r="F15" s="139" t="str">
        <f t="shared" ca="1" si="0"/>
        <v>Overdue</v>
      </c>
      <c r="G15" s="137"/>
      <c r="H15" s="140" t="s">
        <v>183</v>
      </c>
    </row>
    <row r="16" spans="1:8" ht="24" customHeight="1" x14ac:dyDescent="0.2">
      <c r="A16" s="141" t="s">
        <v>158</v>
      </c>
      <c r="B16" s="142" t="s">
        <v>191</v>
      </c>
      <c r="C16" s="143" t="s">
        <v>167</v>
      </c>
      <c r="D16" s="144">
        <v>46220</v>
      </c>
      <c r="E16" s="164">
        <v>46225</v>
      </c>
      <c r="F16" s="145" t="str">
        <f t="shared" ca="1" si="0"/>
        <v>Done</v>
      </c>
      <c r="G16" s="143"/>
      <c r="H16" s="146" t="s">
        <v>183</v>
      </c>
    </row>
    <row r="17" spans="1:8" ht="24" customHeight="1" x14ac:dyDescent="0.2">
      <c r="A17" s="135" t="s">
        <v>158</v>
      </c>
      <c r="B17" s="136" t="s">
        <v>192</v>
      </c>
      <c r="C17" s="137" t="s">
        <v>167</v>
      </c>
      <c r="D17" s="164">
        <v>46220</v>
      </c>
      <c r="E17" s="164">
        <v>46225</v>
      </c>
      <c r="F17" s="139" t="str">
        <f t="shared" ca="1" si="0"/>
        <v>Done</v>
      </c>
      <c r="G17" s="137"/>
      <c r="H17" s="140" t="s">
        <v>183</v>
      </c>
    </row>
    <row r="18" spans="1:8" ht="24" customHeight="1" x14ac:dyDescent="0.2">
      <c r="A18" s="141"/>
      <c r="B18" s="142" t="s">
        <v>193</v>
      </c>
      <c r="C18" s="143" t="s">
        <v>167</v>
      </c>
      <c r="D18" s="164">
        <v>46220</v>
      </c>
      <c r="E18" s="164">
        <v>46225</v>
      </c>
      <c r="F18" s="145" t="str">
        <f t="shared" ca="1" si="0"/>
        <v>Overdue</v>
      </c>
      <c r="G18" s="143"/>
      <c r="H18" s="146" t="s">
        <v>183</v>
      </c>
    </row>
    <row r="19" spans="1:8" ht="24" customHeight="1" x14ac:dyDescent="0.2">
      <c r="A19" s="135"/>
      <c r="B19" s="136" t="s">
        <v>194</v>
      </c>
      <c r="C19" s="137" t="s">
        <v>167</v>
      </c>
      <c r="D19" s="164">
        <v>46220</v>
      </c>
      <c r="E19" s="164">
        <v>46225</v>
      </c>
      <c r="F19" s="139" t="str">
        <f t="shared" ca="1" si="0"/>
        <v>Overdue</v>
      </c>
      <c r="G19" s="137"/>
      <c r="H19" s="140" t="s">
        <v>183</v>
      </c>
    </row>
    <row r="20" spans="1:8" ht="24" customHeight="1" x14ac:dyDescent="0.2">
      <c r="A20" s="141" t="s">
        <v>158</v>
      </c>
      <c r="B20" s="142" t="s">
        <v>195</v>
      </c>
      <c r="C20" s="143" t="s">
        <v>178</v>
      </c>
      <c r="D20" s="164">
        <v>46220</v>
      </c>
      <c r="E20" s="164">
        <v>46225</v>
      </c>
      <c r="F20" s="145" t="str">
        <f t="shared" ca="1" si="0"/>
        <v>Done</v>
      </c>
      <c r="G20" s="143"/>
      <c r="H20" s="146" t="s">
        <v>196</v>
      </c>
    </row>
    <row r="21" spans="1:8" ht="24" customHeight="1" x14ac:dyDescent="0.2">
      <c r="A21" s="135" t="s">
        <v>158</v>
      </c>
      <c r="B21" s="136" t="s">
        <v>197</v>
      </c>
      <c r="C21" s="137" t="s">
        <v>178</v>
      </c>
      <c r="D21" s="164">
        <v>46220</v>
      </c>
      <c r="E21" s="164">
        <v>46225</v>
      </c>
      <c r="F21" s="139" t="str">
        <f t="shared" ca="1" si="0"/>
        <v>Done</v>
      </c>
      <c r="G21" s="137"/>
      <c r="H21" s="140" t="s">
        <v>196</v>
      </c>
    </row>
    <row r="22" spans="1:8" ht="24" customHeight="1" x14ac:dyDescent="0.2">
      <c r="A22" s="141"/>
      <c r="B22" s="142" t="s">
        <v>198</v>
      </c>
      <c r="C22" s="143" t="s">
        <v>178</v>
      </c>
      <c r="D22" s="164">
        <v>46220</v>
      </c>
      <c r="E22" s="164">
        <v>46225</v>
      </c>
      <c r="F22" s="145" t="str">
        <f t="shared" ca="1" si="0"/>
        <v>Overdue</v>
      </c>
      <c r="G22" s="143"/>
      <c r="H22" s="146" t="s">
        <v>196</v>
      </c>
    </row>
    <row r="23" spans="1:8" ht="24" customHeight="1" x14ac:dyDescent="0.2">
      <c r="A23" s="135"/>
      <c r="B23" s="136" t="s">
        <v>199</v>
      </c>
      <c r="C23" s="137" t="s">
        <v>200</v>
      </c>
      <c r="D23" s="164">
        <v>46220</v>
      </c>
      <c r="E23" s="164">
        <v>46225</v>
      </c>
      <c r="F23" s="139" t="str">
        <f t="shared" ca="1" si="0"/>
        <v>Overdue</v>
      </c>
      <c r="G23" s="137"/>
      <c r="H23" s="140" t="s">
        <v>201</v>
      </c>
    </row>
    <row r="24" spans="1:8" ht="24" customHeight="1" x14ac:dyDescent="0.2">
      <c r="A24" s="141"/>
      <c r="B24" s="142" t="s">
        <v>202</v>
      </c>
      <c r="C24" s="143" t="s">
        <v>200</v>
      </c>
      <c r="D24" s="164">
        <v>46220</v>
      </c>
      <c r="E24" s="164">
        <v>46225</v>
      </c>
      <c r="F24" s="145" t="str">
        <f t="shared" ca="1" si="0"/>
        <v>Overdue</v>
      </c>
      <c r="G24" s="143"/>
      <c r="H24" s="146" t="s">
        <v>201</v>
      </c>
    </row>
    <row r="25" spans="1:8" ht="24" customHeight="1" x14ac:dyDescent="0.2">
      <c r="A25" s="135"/>
      <c r="B25" s="136"/>
      <c r="C25" s="137"/>
      <c r="D25" s="138"/>
      <c r="E25" s="138"/>
      <c r="F25" s="139" t="str">
        <f t="shared" ca="1" si="0"/>
        <v>New</v>
      </c>
      <c r="G25" s="137"/>
      <c r="H25" s="140"/>
    </row>
    <row r="26" spans="1:8" ht="24" customHeight="1" x14ac:dyDescent="0.2">
      <c r="A26" s="141"/>
      <c r="B26" s="142"/>
      <c r="C26" s="143"/>
      <c r="D26" s="144"/>
      <c r="E26" s="144"/>
      <c r="F26" s="145" t="str">
        <f t="shared" ca="1" si="0"/>
        <v>New</v>
      </c>
      <c r="G26" s="143"/>
      <c r="H26" s="146"/>
    </row>
    <row r="27" spans="1:8" ht="24" customHeight="1" x14ac:dyDescent="0.2">
      <c r="A27" s="135"/>
      <c r="B27" s="136"/>
      <c r="C27" s="137"/>
      <c r="D27" s="138"/>
      <c r="E27" s="138"/>
      <c r="F27" s="139" t="str">
        <f t="shared" ca="1" si="0"/>
        <v>New</v>
      </c>
      <c r="G27" s="137"/>
      <c r="H27" s="140"/>
    </row>
    <row r="28" spans="1:8" ht="24" customHeight="1" x14ac:dyDescent="0.2">
      <c r="A28" s="141"/>
      <c r="B28" s="142"/>
      <c r="C28" s="143"/>
      <c r="D28" s="144"/>
      <c r="E28" s="144"/>
      <c r="F28" s="145" t="str">
        <f t="shared" ca="1" si="0"/>
        <v>New</v>
      </c>
      <c r="G28" s="143"/>
      <c r="H28" s="146"/>
    </row>
    <row r="29" spans="1:8" ht="24" customHeight="1" x14ac:dyDescent="0.2">
      <c r="A29" s="135"/>
      <c r="B29" s="136"/>
      <c r="C29" s="137"/>
      <c r="D29" s="138"/>
      <c r="E29" s="138"/>
      <c r="F29" s="139" t="str">
        <f t="shared" ca="1" si="0"/>
        <v>New</v>
      </c>
      <c r="G29" s="137"/>
      <c r="H29" s="140"/>
    </row>
    <row r="30" spans="1:8" ht="24" customHeight="1" x14ac:dyDescent="0.2">
      <c r="A30" s="141"/>
      <c r="B30" s="142"/>
      <c r="C30" s="143"/>
      <c r="D30" s="144"/>
      <c r="E30" s="144"/>
      <c r="F30" s="145" t="str">
        <f t="shared" ca="1" si="0"/>
        <v>New</v>
      </c>
      <c r="G30" s="143"/>
      <c r="H30" s="146"/>
    </row>
    <row r="31" spans="1:8" ht="24" customHeight="1" x14ac:dyDescent="0.2">
      <c r="A31" s="135"/>
      <c r="B31" s="136"/>
      <c r="C31" s="137"/>
      <c r="D31" s="138"/>
      <c r="E31" s="138"/>
      <c r="F31" s="139" t="str">
        <f t="shared" ca="1" si="0"/>
        <v>New</v>
      </c>
      <c r="G31" s="137"/>
      <c r="H31" s="140"/>
    </row>
    <row r="32" spans="1:8" ht="24" customHeight="1" x14ac:dyDescent="0.2">
      <c r="A32" s="141"/>
      <c r="B32" s="142"/>
      <c r="C32" s="143"/>
      <c r="D32" s="144"/>
      <c r="E32" s="144"/>
      <c r="F32" s="145" t="str">
        <f t="shared" ca="1" si="0"/>
        <v>New</v>
      </c>
      <c r="G32" s="143"/>
      <c r="H32" s="146"/>
    </row>
    <row r="33" spans="1:8" ht="24" customHeight="1" x14ac:dyDescent="0.2">
      <c r="A33" s="135"/>
      <c r="B33" s="136"/>
      <c r="C33" s="137"/>
      <c r="D33" s="138"/>
      <c r="E33" s="138"/>
      <c r="F33" s="139" t="str">
        <f t="shared" ca="1" si="0"/>
        <v>New</v>
      </c>
      <c r="G33" s="137"/>
      <c r="H33" s="140"/>
    </row>
    <row r="34" spans="1:8" ht="24" customHeight="1" x14ac:dyDescent="0.2">
      <c r="A34" s="141"/>
      <c r="B34" s="142"/>
      <c r="C34" s="143"/>
      <c r="D34" s="144"/>
      <c r="E34" s="144"/>
      <c r="F34" s="145" t="str">
        <f t="shared" ca="1" si="0"/>
        <v>New</v>
      </c>
      <c r="G34" s="143"/>
      <c r="H34" s="146"/>
    </row>
    <row r="35" spans="1:8" ht="24" customHeight="1" x14ac:dyDescent="0.2">
      <c r="A35" s="135"/>
      <c r="B35" s="136"/>
      <c r="C35" s="137"/>
      <c r="D35" s="138"/>
      <c r="E35" s="138"/>
      <c r="F35" s="139" t="str">
        <f t="shared" ca="1" si="0"/>
        <v>New</v>
      </c>
      <c r="G35" s="137"/>
      <c r="H35" s="140"/>
    </row>
    <row r="36" spans="1:8" ht="24" customHeight="1" x14ac:dyDescent="0.2">
      <c r="A36" s="141"/>
      <c r="B36" s="142"/>
      <c r="C36" s="143"/>
      <c r="D36" s="144"/>
      <c r="E36" s="144"/>
      <c r="F36" s="145" t="str">
        <f t="shared" ca="1" si="0"/>
        <v>New</v>
      </c>
      <c r="G36" s="143"/>
      <c r="H36" s="146"/>
    </row>
    <row r="37" spans="1:8" ht="24" customHeight="1" x14ac:dyDescent="0.2">
      <c r="A37" s="135"/>
      <c r="B37" s="136"/>
      <c r="C37" s="137"/>
      <c r="D37" s="138"/>
      <c r="E37" s="138"/>
      <c r="F37" s="139" t="str">
        <f t="shared" ca="1" si="0"/>
        <v>New</v>
      </c>
      <c r="G37" s="137"/>
      <c r="H37" s="140"/>
    </row>
    <row r="38" spans="1:8" ht="24" customHeight="1" x14ac:dyDescent="0.2">
      <c r="A38" s="141"/>
      <c r="B38" s="142"/>
      <c r="C38" s="143"/>
      <c r="D38" s="144"/>
      <c r="E38" s="144"/>
      <c r="F38" s="145" t="str">
        <f t="shared" ca="1" si="0"/>
        <v>New</v>
      </c>
      <c r="G38" s="143"/>
      <c r="H38" s="146"/>
    </row>
    <row r="39" spans="1:8" ht="24" customHeight="1" x14ac:dyDescent="0.2">
      <c r="A39" s="135"/>
      <c r="B39" s="136"/>
      <c r="C39" s="137"/>
      <c r="D39" s="138"/>
      <c r="E39" s="138"/>
      <c r="F39" s="139" t="str">
        <f t="shared" ca="1" si="0"/>
        <v>New</v>
      </c>
      <c r="G39" s="137"/>
      <c r="H39" s="140"/>
    </row>
    <row r="40" spans="1:8" ht="24" customHeight="1" x14ac:dyDescent="0.2">
      <c r="A40" s="141"/>
      <c r="B40" s="142"/>
      <c r="C40" s="143"/>
      <c r="D40" s="144"/>
      <c r="E40" s="144"/>
      <c r="F40" s="145" t="str">
        <f t="shared" ca="1" si="0"/>
        <v>New</v>
      </c>
      <c r="G40" s="143"/>
      <c r="H40" s="146"/>
    </row>
    <row r="41" spans="1:8" ht="24" customHeight="1" x14ac:dyDescent="0.2">
      <c r="A41" s="135"/>
      <c r="B41" s="136"/>
      <c r="C41" s="137"/>
      <c r="D41" s="138"/>
      <c r="E41" s="138"/>
      <c r="F41" s="139" t="str">
        <f t="shared" ca="1" si="0"/>
        <v>New</v>
      </c>
      <c r="G41" s="137"/>
      <c r="H41" s="140"/>
    </row>
    <row r="42" spans="1:8" ht="24" customHeight="1" x14ac:dyDescent="0.2">
      <c r="A42" s="141"/>
      <c r="B42" s="142"/>
      <c r="C42" s="143"/>
      <c r="D42" s="144"/>
      <c r="E42" s="144"/>
      <c r="F42" s="145" t="str">
        <f t="shared" ca="1" si="0"/>
        <v>New</v>
      </c>
      <c r="G42" s="143"/>
      <c r="H42" s="146"/>
    </row>
    <row r="43" spans="1:8" ht="24" customHeight="1" x14ac:dyDescent="0.2">
      <c r="A43" s="135"/>
      <c r="B43" s="136"/>
      <c r="C43" s="137"/>
      <c r="D43" s="138"/>
      <c r="E43" s="138"/>
      <c r="F43" s="139" t="str">
        <f t="shared" ca="1" si="0"/>
        <v>New</v>
      </c>
      <c r="G43" s="137"/>
      <c r="H43" s="140"/>
    </row>
    <row r="44" spans="1:8" ht="24" customHeight="1" x14ac:dyDescent="0.2">
      <c r="A44" s="141"/>
      <c r="B44" s="142"/>
      <c r="C44" s="143"/>
      <c r="D44" s="144"/>
      <c r="E44" s="144"/>
      <c r="F44" s="145" t="str">
        <f t="shared" ca="1" si="0"/>
        <v>New</v>
      </c>
      <c r="G44" s="143"/>
      <c r="H44" s="146"/>
    </row>
    <row r="45" spans="1:8" ht="24" customHeight="1" x14ac:dyDescent="0.2">
      <c r="A45" s="135"/>
      <c r="B45" s="136"/>
      <c r="C45" s="137"/>
      <c r="D45" s="138"/>
      <c r="E45" s="138"/>
      <c r="F45" s="139" t="str">
        <f t="shared" ca="1" si="0"/>
        <v>New</v>
      </c>
      <c r="G45" s="137"/>
      <c r="H45" s="140"/>
    </row>
    <row r="46" spans="1:8" ht="24" customHeight="1" x14ac:dyDescent="0.2">
      <c r="A46" s="141"/>
      <c r="B46" s="142"/>
      <c r="C46" s="143"/>
      <c r="D46" s="144"/>
      <c r="E46" s="144"/>
      <c r="F46" s="145" t="str">
        <f t="shared" ca="1" si="0"/>
        <v>New</v>
      </c>
      <c r="G46" s="143"/>
      <c r="H46" s="146"/>
    </row>
    <row r="47" spans="1:8" ht="24" customHeight="1" x14ac:dyDescent="0.2">
      <c r="A47" s="135"/>
      <c r="B47" s="136"/>
      <c r="C47" s="137"/>
      <c r="D47" s="138"/>
      <c r="E47" s="138"/>
      <c r="F47" s="139" t="str">
        <f t="shared" ca="1" si="0"/>
        <v>New</v>
      </c>
      <c r="G47" s="137"/>
      <c r="H47" s="140"/>
    </row>
    <row r="48" spans="1:8" ht="24" customHeight="1" x14ac:dyDescent="0.2">
      <c r="A48" s="141"/>
      <c r="B48" s="142"/>
      <c r="C48" s="143"/>
      <c r="D48" s="144"/>
      <c r="E48" s="144"/>
      <c r="F48" s="145" t="str">
        <f t="shared" ca="1" si="0"/>
        <v>New</v>
      </c>
      <c r="G48" s="143"/>
      <c r="H48" s="146"/>
    </row>
    <row r="49" spans="1:8" ht="24" customHeight="1" x14ac:dyDescent="0.2">
      <c r="A49" s="135"/>
      <c r="B49" s="136"/>
      <c r="C49" s="137"/>
      <c r="D49" s="138"/>
      <c r="E49" s="138"/>
      <c r="F49" s="139" t="str">
        <f t="shared" ca="1" si="0"/>
        <v>New</v>
      </c>
      <c r="G49" s="137"/>
      <c r="H49" s="140"/>
    </row>
    <row r="50" spans="1:8" ht="24" customHeight="1" thickBot="1" x14ac:dyDescent="0.25">
      <c r="A50" s="147"/>
      <c r="B50" s="148"/>
      <c r="C50" s="149"/>
      <c r="D50" s="150"/>
      <c r="E50" s="150"/>
      <c r="F50" s="151" t="str">
        <f t="shared" ca="1" si="0"/>
        <v>New</v>
      </c>
      <c r="G50" s="149"/>
      <c r="H50" s="152"/>
    </row>
  </sheetData>
  <conditionalFormatting sqref="A2:A100">
    <cfRule type="containsText" dxfId="9" priority="5" operator="containsText" text="✓">
      <formula>NOT(ISERROR(SEARCH("✓",A2)))</formula>
    </cfRule>
  </conditionalFormatting>
  <conditionalFormatting sqref="B2:H7 F8:H24 B25:H100 B8:D8 B9:C24 D16">
    <cfRule type="expression" dxfId="8" priority="9">
      <formula>$A2="✓"</formula>
    </cfRule>
  </conditionalFormatting>
  <conditionalFormatting sqref="F2:F100">
    <cfRule type="containsText" dxfId="7" priority="1" operator="containsText" text="Overdue">
      <formula>NOT(ISERROR(SEARCH("Overdue",F2)))</formula>
    </cfRule>
    <cfRule type="containsText" dxfId="6" priority="2" operator="containsText" text="Due Soon">
      <formula>NOT(ISERROR(SEARCH("Due Soon",F2)))</formula>
    </cfRule>
    <cfRule type="containsText" dxfId="5" priority="3" operator="containsText" text="New">
      <formula>NOT(ISERROR(SEARCH("New",F2)))</formula>
    </cfRule>
    <cfRule type="containsText" dxfId="4" priority="4" operator="containsText" text="Done">
      <formula>NOT(ISERROR(SEARCH("Done",F2)))</formula>
    </cfRule>
  </conditionalFormatting>
  <conditionalFormatting sqref="G2:G100">
    <cfRule type="containsText" dxfId="3" priority="6" operator="containsText" text="High">
      <formula>NOT(ISERROR(SEARCH("High",G2)))</formula>
    </cfRule>
    <cfRule type="containsText" dxfId="2" priority="7" operator="containsText" text="Medium">
      <formula>NOT(ISERROR(SEARCH("Medium",G2)))</formula>
    </cfRule>
    <cfRule type="containsText" dxfId="1" priority="8" operator="containsText" text="Low">
      <formula>NOT(ISERROR(SEARCH("Low",G2)))</formula>
    </cfRule>
  </conditionalFormatting>
  <dataValidations count="2">
    <dataValidation type="list" allowBlank="1" showInputMessage="1" showErrorMessage="1" promptTitle="Task Status" prompt="Select ✓ to mark as done" sqref="A2:A100" xr:uid="{1BBD9E19-2E97-D141-9434-7933F94E68DE}">
      <formula1>"✓"</formula1>
    </dataValidation>
    <dataValidation type="list" allowBlank="1" showInputMessage="1" showErrorMessage="1" sqref="G2:G100" xr:uid="{05756AC3-E9CD-6349-943B-E2EEE4AFC30C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1586-4C51-441A-BC1A-7EE0C0A798CC}">
  <dimension ref="A1:P32"/>
  <sheetViews>
    <sheetView zoomScaleNormal="137" workbookViewId="0">
      <pane ySplit="2" topLeftCell="A3" activePane="bottomLeft" state="frozen"/>
      <selection pane="bottomLeft" activeCell="L13" sqref="L13"/>
    </sheetView>
  </sheetViews>
  <sheetFormatPr baseColWidth="10" defaultColWidth="8.83203125" defaultRowHeight="15" x14ac:dyDescent="0.2"/>
  <cols>
    <col min="1" max="1" width="25" customWidth="1"/>
    <col min="2" max="3" width="18.33203125" customWidth="1"/>
    <col min="4" max="4" width="10.83203125" customWidth="1"/>
    <col min="5" max="5" width="9.33203125" bestFit="1" customWidth="1"/>
    <col min="6" max="6" width="10.83203125" bestFit="1" customWidth="1"/>
    <col min="7" max="7" width="17.83203125" bestFit="1" customWidth="1"/>
    <col min="8" max="8" width="13.83203125" bestFit="1" customWidth="1"/>
    <col min="9" max="9" width="23.83203125" bestFit="1" customWidth="1"/>
    <col min="10" max="10" width="20.6640625" bestFit="1" customWidth="1"/>
    <col min="11" max="11" width="11.33203125" customWidth="1"/>
    <col min="12" max="12" width="18.83203125" bestFit="1" customWidth="1"/>
    <col min="13" max="13" width="18.5" bestFit="1" customWidth="1"/>
    <col min="14" max="14" width="19.83203125" bestFit="1" customWidth="1"/>
    <col min="15" max="15" width="47.5" bestFit="1" customWidth="1"/>
  </cols>
  <sheetData>
    <row r="1" spans="1:16" ht="34" x14ac:dyDescent="0.4">
      <c r="A1" s="13" t="s">
        <v>203</v>
      </c>
    </row>
    <row r="2" spans="1:16" ht="17" thickBot="1" x14ac:dyDescent="0.25">
      <c r="A2" s="110" t="s">
        <v>204</v>
      </c>
      <c r="B2" s="110" t="s">
        <v>205</v>
      </c>
      <c r="C2" s="110" t="s">
        <v>206</v>
      </c>
      <c r="D2" s="111" t="s">
        <v>207</v>
      </c>
      <c r="E2" s="110" t="s">
        <v>208</v>
      </c>
      <c r="F2" s="121" t="s">
        <v>209</v>
      </c>
      <c r="G2" s="111" t="s">
        <v>210</v>
      </c>
      <c r="H2" s="111" t="s">
        <v>211</v>
      </c>
      <c r="I2" s="111" t="s">
        <v>212</v>
      </c>
      <c r="J2" s="111" t="s">
        <v>213</v>
      </c>
      <c r="K2" s="111" t="s">
        <v>214</v>
      </c>
      <c r="L2" s="111" t="s">
        <v>215</v>
      </c>
      <c r="M2" s="111" t="s">
        <v>216</v>
      </c>
      <c r="N2" s="111" t="s">
        <v>217</v>
      </c>
      <c r="O2" s="111" t="s">
        <v>165</v>
      </c>
    </row>
    <row r="3" spans="1:16" ht="70" customHeight="1" thickTop="1" x14ac:dyDescent="0.2">
      <c r="A3" s="112" t="s">
        <v>218</v>
      </c>
      <c r="B3" s="112" t="s">
        <v>219</v>
      </c>
      <c r="C3" s="123" t="b">
        <v>1</v>
      </c>
      <c r="D3" s="113">
        <v>4</v>
      </c>
      <c r="E3" s="114" t="s">
        <v>220</v>
      </c>
      <c r="F3" s="114" t="s">
        <v>221</v>
      </c>
      <c r="G3" s="114" t="s">
        <v>222</v>
      </c>
      <c r="H3" s="114" t="s">
        <v>223</v>
      </c>
      <c r="I3" s="113">
        <v>8</v>
      </c>
      <c r="J3" s="113" t="s">
        <v>224</v>
      </c>
      <c r="K3" s="113" t="s">
        <v>224</v>
      </c>
      <c r="L3" s="115" t="s">
        <v>224</v>
      </c>
      <c r="M3" s="120" t="e" vm="1">
        <v>#VALUE!</v>
      </c>
      <c r="N3" s="122" t="s">
        <v>218</v>
      </c>
      <c r="O3" s="117" t="s">
        <v>225</v>
      </c>
    </row>
    <row r="4" spans="1:16" ht="70" customHeight="1" x14ac:dyDescent="0.2">
      <c r="A4" s="165" t="s">
        <v>226</v>
      </c>
      <c r="B4" s="165" t="s">
        <v>227</v>
      </c>
      <c r="C4" s="166" t="b">
        <v>1</v>
      </c>
      <c r="D4" s="167">
        <v>2</v>
      </c>
      <c r="E4" s="168" t="s">
        <v>220</v>
      </c>
      <c r="F4" s="168" t="s">
        <v>221</v>
      </c>
      <c r="G4" s="168" t="s">
        <v>222</v>
      </c>
      <c r="H4" s="168" t="s">
        <v>223</v>
      </c>
      <c r="I4" s="167">
        <v>7</v>
      </c>
      <c r="J4" s="167" t="s">
        <v>224</v>
      </c>
      <c r="K4" s="167" t="s">
        <v>224</v>
      </c>
      <c r="L4" s="169" t="s">
        <v>224</v>
      </c>
      <c r="M4" s="170" t="e" vm="2">
        <v>#VALUE!</v>
      </c>
      <c r="N4" s="172" t="s">
        <v>226</v>
      </c>
      <c r="O4" s="117" t="s">
        <v>228</v>
      </c>
      <c r="P4" s="2"/>
    </row>
    <row r="5" spans="1:16" ht="70" customHeight="1" x14ac:dyDescent="0.2">
      <c r="A5" s="116" t="s">
        <v>229</v>
      </c>
      <c r="B5" s="116" t="s">
        <v>227</v>
      </c>
      <c r="C5" s="124" t="b">
        <v>1</v>
      </c>
      <c r="D5" s="117">
        <v>2</v>
      </c>
      <c r="E5" s="118" t="s">
        <v>230</v>
      </c>
      <c r="F5" s="118" t="s">
        <v>231</v>
      </c>
      <c r="G5" s="118" t="s">
        <v>232</v>
      </c>
      <c r="H5" s="118" t="s">
        <v>233</v>
      </c>
      <c r="I5" s="113" t="s">
        <v>224</v>
      </c>
      <c r="J5" s="113" t="s">
        <v>224</v>
      </c>
      <c r="K5" s="113" t="s">
        <v>224</v>
      </c>
      <c r="L5" s="115" t="s">
        <v>224</v>
      </c>
      <c r="M5" s="119"/>
      <c r="N5" s="171" t="s">
        <v>234</v>
      </c>
      <c r="O5" s="117"/>
    </row>
    <row r="6" spans="1:16" ht="70" customHeight="1" x14ac:dyDescent="0.2">
      <c r="A6" s="116" t="s">
        <v>235</v>
      </c>
      <c r="B6" s="116" t="s">
        <v>236</v>
      </c>
      <c r="C6" s="124" t="b">
        <v>1</v>
      </c>
      <c r="D6" s="117">
        <v>1</v>
      </c>
      <c r="E6" s="118" t="s">
        <v>220</v>
      </c>
      <c r="F6" s="118" t="s">
        <v>221</v>
      </c>
      <c r="G6" s="118" t="s">
        <v>232</v>
      </c>
      <c r="H6" s="118" t="s">
        <v>233</v>
      </c>
      <c r="I6" s="113">
        <v>6</v>
      </c>
      <c r="J6" s="113" t="s">
        <v>224</v>
      </c>
      <c r="K6" s="113" t="s">
        <v>224</v>
      </c>
      <c r="L6" s="115" t="s">
        <v>224</v>
      </c>
      <c r="M6" s="119"/>
      <c r="N6" s="171" t="s">
        <v>235</v>
      </c>
      <c r="O6" s="117" t="s">
        <v>237</v>
      </c>
    </row>
    <row r="7" spans="1:16" ht="70" customHeight="1" x14ac:dyDescent="0.2">
      <c r="A7" s="116" t="s">
        <v>238</v>
      </c>
      <c r="B7" s="116" t="s">
        <v>236</v>
      </c>
      <c r="C7" s="124" t="b">
        <v>1</v>
      </c>
      <c r="D7" s="117">
        <v>1</v>
      </c>
      <c r="E7" s="118" t="s">
        <v>220</v>
      </c>
      <c r="F7" s="118" t="s">
        <v>221</v>
      </c>
      <c r="G7" s="118" t="s">
        <v>232</v>
      </c>
      <c r="H7" s="118" t="s">
        <v>233</v>
      </c>
      <c r="I7" s="113">
        <v>6</v>
      </c>
      <c r="J7" s="113" t="s">
        <v>224</v>
      </c>
      <c r="K7" s="113" t="s">
        <v>224</v>
      </c>
      <c r="L7" s="115" t="s">
        <v>224</v>
      </c>
      <c r="M7" s="119"/>
      <c r="N7" s="171" t="s">
        <v>238</v>
      </c>
      <c r="O7" s="117" t="s">
        <v>237</v>
      </c>
    </row>
    <row r="8" spans="1:16" ht="70" customHeight="1" x14ac:dyDescent="0.2">
      <c r="A8" s="116" t="s">
        <v>239</v>
      </c>
      <c r="B8" s="116" t="s">
        <v>236</v>
      </c>
      <c r="C8" s="124" t="b">
        <v>1</v>
      </c>
      <c r="D8" s="117">
        <v>1</v>
      </c>
      <c r="E8" s="118" t="s">
        <v>230</v>
      </c>
      <c r="F8" s="118" t="s">
        <v>231</v>
      </c>
      <c r="G8" s="118" t="s">
        <v>222</v>
      </c>
      <c r="H8" s="118" t="s">
        <v>223</v>
      </c>
      <c r="I8" s="113" t="s">
        <v>224</v>
      </c>
      <c r="J8" s="113" t="s">
        <v>224</v>
      </c>
      <c r="K8" s="113" t="s">
        <v>224</v>
      </c>
      <c r="L8" s="115" t="s">
        <v>224</v>
      </c>
      <c r="M8" s="119" t="s">
        <v>368</v>
      </c>
      <c r="N8" s="171" t="s">
        <v>240</v>
      </c>
      <c r="O8" s="117" t="s">
        <v>241</v>
      </c>
    </row>
    <row r="9" spans="1:16" ht="70" customHeight="1" x14ac:dyDescent="0.2">
      <c r="A9" s="116" t="s">
        <v>242</v>
      </c>
      <c r="B9" s="116" t="s">
        <v>236</v>
      </c>
      <c r="C9" s="124" t="b">
        <v>1</v>
      </c>
      <c r="D9" s="117">
        <v>1</v>
      </c>
      <c r="E9" s="118" t="s">
        <v>230</v>
      </c>
      <c r="F9" s="118" t="s">
        <v>231</v>
      </c>
      <c r="G9" s="118" t="s">
        <v>222</v>
      </c>
      <c r="H9" s="118" t="s">
        <v>223</v>
      </c>
      <c r="I9" s="113" t="s">
        <v>224</v>
      </c>
      <c r="J9" s="113" t="s">
        <v>224</v>
      </c>
      <c r="K9" s="113" t="s">
        <v>224</v>
      </c>
      <c r="L9" s="115" t="s">
        <v>224</v>
      </c>
      <c r="M9" s="119" t="s">
        <v>368</v>
      </c>
      <c r="N9" s="171" t="s">
        <v>243</v>
      </c>
      <c r="O9" s="117" t="s">
        <v>241</v>
      </c>
    </row>
    <row r="10" spans="1:16" ht="70" customHeight="1" x14ac:dyDescent="0.2">
      <c r="A10" s="116" t="s">
        <v>244</v>
      </c>
      <c r="B10" s="116" t="s">
        <v>236</v>
      </c>
      <c r="C10" s="124" t="b">
        <v>1</v>
      </c>
      <c r="D10" s="117">
        <v>1</v>
      </c>
      <c r="E10" s="118" t="s">
        <v>230</v>
      </c>
      <c r="F10" s="118" t="s">
        <v>231</v>
      </c>
      <c r="G10" s="118" t="s">
        <v>222</v>
      </c>
      <c r="H10" s="118" t="s">
        <v>223</v>
      </c>
      <c r="I10" s="113" t="s">
        <v>224</v>
      </c>
      <c r="J10" s="113" t="s">
        <v>224</v>
      </c>
      <c r="K10" s="113" t="s">
        <v>224</v>
      </c>
      <c r="L10" s="115" t="s">
        <v>224</v>
      </c>
      <c r="M10" s="119" t="s">
        <v>368</v>
      </c>
      <c r="N10" s="171" t="s">
        <v>245</v>
      </c>
      <c r="O10" s="117" t="s">
        <v>241</v>
      </c>
    </row>
    <row r="11" spans="1:16" ht="70" customHeight="1" x14ac:dyDescent="0.2">
      <c r="A11" s="116" t="s">
        <v>246</v>
      </c>
      <c r="B11" s="116" t="s">
        <v>236</v>
      </c>
      <c r="C11" s="124" t="b">
        <v>1</v>
      </c>
      <c r="D11" s="117">
        <v>1</v>
      </c>
      <c r="E11" s="118" t="s">
        <v>230</v>
      </c>
      <c r="F11" s="118" t="s">
        <v>231</v>
      </c>
      <c r="G11" s="118" t="s">
        <v>222</v>
      </c>
      <c r="H11" s="118" t="s">
        <v>223</v>
      </c>
      <c r="I11" s="113" t="s">
        <v>224</v>
      </c>
      <c r="J11" s="113" t="s">
        <v>224</v>
      </c>
      <c r="K11" s="113" t="s">
        <v>224</v>
      </c>
      <c r="L11" s="115" t="s">
        <v>224</v>
      </c>
      <c r="M11" s="119" t="s">
        <v>368</v>
      </c>
      <c r="N11" s="171" t="s">
        <v>247</v>
      </c>
      <c r="O11" s="117" t="s">
        <v>241</v>
      </c>
    </row>
    <row r="12" spans="1:16" ht="70" customHeight="1" x14ac:dyDescent="0.2">
      <c r="A12" s="116" t="s">
        <v>248</v>
      </c>
      <c r="B12" s="116" t="s">
        <v>249</v>
      </c>
      <c r="C12" s="124" t="b">
        <v>1</v>
      </c>
      <c r="D12" s="117">
        <v>2</v>
      </c>
      <c r="E12" s="118" t="s">
        <v>230</v>
      </c>
      <c r="F12" s="118"/>
      <c r="G12" s="118"/>
      <c r="H12" s="118"/>
      <c r="I12" s="113"/>
      <c r="J12" s="113"/>
      <c r="K12" s="113"/>
      <c r="L12" s="115"/>
      <c r="M12" s="119" t="s">
        <v>368</v>
      </c>
      <c r="N12" s="171"/>
      <c r="O12" s="117" t="s">
        <v>241</v>
      </c>
    </row>
    <row r="13" spans="1:16" ht="70" customHeight="1" x14ac:dyDescent="0.2">
      <c r="A13" s="116"/>
      <c r="B13" s="116"/>
      <c r="C13" s="116"/>
      <c r="D13" s="117"/>
      <c r="E13" s="118"/>
      <c r="F13" s="118"/>
      <c r="G13" s="118"/>
      <c r="H13" s="118"/>
      <c r="I13" s="117"/>
      <c r="J13" s="117"/>
      <c r="K13" s="117"/>
      <c r="L13" s="119"/>
      <c r="M13" s="120"/>
      <c r="O13" s="117"/>
    </row>
    <row r="14" spans="1:16" ht="70" customHeight="1" x14ac:dyDescent="0.2">
      <c r="A14" s="116"/>
      <c r="B14" s="116"/>
      <c r="C14" s="116"/>
      <c r="D14" s="117"/>
      <c r="E14" s="118"/>
      <c r="F14" s="118"/>
      <c r="G14" s="118"/>
      <c r="H14" s="118"/>
      <c r="I14" s="117"/>
      <c r="J14" s="117"/>
      <c r="K14" s="117"/>
      <c r="L14" s="119"/>
      <c r="M14" s="120"/>
      <c r="O14" s="117"/>
    </row>
    <row r="15" spans="1:16" ht="70" customHeight="1" x14ac:dyDescent="0.2">
      <c r="A15" s="116"/>
      <c r="B15" s="116"/>
      <c r="C15" s="116"/>
      <c r="D15" s="117"/>
      <c r="E15" s="118"/>
      <c r="F15" s="118"/>
      <c r="G15" s="118"/>
      <c r="H15" s="118"/>
      <c r="I15" s="117"/>
      <c r="J15" s="117"/>
      <c r="K15" s="117"/>
      <c r="L15" s="119"/>
      <c r="M15" s="120"/>
      <c r="O15" s="117"/>
    </row>
    <row r="16" spans="1:16" ht="70" customHeight="1" x14ac:dyDescent="0.2">
      <c r="A16" s="116"/>
      <c r="B16" s="116"/>
      <c r="C16" s="116"/>
      <c r="D16" s="117"/>
      <c r="E16" s="118"/>
      <c r="F16" s="118"/>
      <c r="G16" s="118"/>
      <c r="H16" s="118"/>
      <c r="I16" s="117"/>
      <c r="J16" s="117"/>
      <c r="K16" s="117"/>
      <c r="L16" s="119"/>
      <c r="M16" s="120"/>
      <c r="O16" s="117"/>
    </row>
    <row r="17" spans="1:15" ht="70" customHeight="1" x14ac:dyDescent="0.2">
      <c r="A17" s="116"/>
      <c r="B17" s="116"/>
      <c r="C17" s="116"/>
      <c r="D17" s="117"/>
      <c r="E17" s="118"/>
      <c r="F17" s="118"/>
      <c r="G17" s="118"/>
      <c r="H17" s="118"/>
      <c r="I17" s="117"/>
      <c r="J17" s="117"/>
      <c r="K17" s="117"/>
      <c r="L17" s="119"/>
      <c r="M17" s="120"/>
      <c r="O17" s="117"/>
    </row>
    <row r="18" spans="1:15" ht="70" customHeight="1" x14ac:dyDescent="0.2">
      <c r="A18" s="116"/>
      <c r="B18" s="116"/>
      <c r="C18" s="116"/>
      <c r="D18" s="117"/>
      <c r="E18" s="118"/>
      <c r="F18" s="118"/>
      <c r="G18" s="118"/>
      <c r="H18" s="118"/>
      <c r="I18" s="117"/>
      <c r="J18" s="117"/>
      <c r="K18" s="117"/>
      <c r="L18" s="119"/>
      <c r="M18" s="120"/>
      <c r="O18" s="117"/>
    </row>
    <row r="19" spans="1:15" ht="70" customHeight="1" x14ac:dyDescent="0.2">
      <c r="A19" s="116"/>
      <c r="B19" s="116"/>
      <c r="C19" s="116"/>
      <c r="D19" s="117"/>
      <c r="E19" s="118"/>
      <c r="F19" s="118"/>
      <c r="G19" s="118"/>
      <c r="H19" s="118"/>
      <c r="I19" s="117"/>
      <c r="J19" s="117"/>
      <c r="K19" s="117"/>
      <c r="L19" s="119"/>
      <c r="M19" s="120"/>
      <c r="O19" s="117"/>
    </row>
    <row r="20" spans="1:15" ht="70" customHeight="1" x14ac:dyDescent="0.2">
      <c r="A20" s="116"/>
      <c r="B20" s="116"/>
      <c r="C20" s="116"/>
      <c r="D20" s="117"/>
      <c r="E20" s="118"/>
      <c r="F20" s="118"/>
      <c r="G20" s="118"/>
      <c r="H20" s="118"/>
      <c r="I20" s="117"/>
      <c r="J20" s="117"/>
      <c r="K20" s="117"/>
      <c r="L20" s="119"/>
      <c r="M20" s="120"/>
      <c r="O20" s="117"/>
    </row>
    <row r="21" spans="1:15" ht="70" customHeight="1" x14ac:dyDescent="0.2">
      <c r="A21" s="116"/>
      <c r="B21" s="116"/>
      <c r="C21" s="116"/>
      <c r="D21" s="117"/>
      <c r="E21" s="118"/>
      <c r="F21" s="118"/>
      <c r="G21" s="118"/>
      <c r="H21" s="118"/>
      <c r="I21" s="117"/>
      <c r="J21" s="117"/>
      <c r="K21" s="117"/>
      <c r="L21" s="119"/>
      <c r="M21" s="120"/>
      <c r="O21" s="117"/>
    </row>
    <row r="22" spans="1:15" ht="70" customHeight="1" x14ac:dyDescent="0.2">
      <c r="A22" s="116"/>
      <c r="B22" s="116"/>
      <c r="C22" s="116"/>
      <c r="D22" s="117"/>
      <c r="E22" s="118"/>
      <c r="F22" s="118"/>
      <c r="G22" s="118"/>
      <c r="H22" s="118"/>
      <c r="I22" s="117"/>
      <c r="J22" s="117"/>
      <c r="K22" s="117"/>
      <c r="L22" s="119"/>
      <c r="M22" s="120"/>
      <c r="O22" s="117"/>
    </row>
    <row r="23" spans="1:15" ht="70" customHeight="1" x14ac:dyDescent="0.2">
      <c r="A23" s="116"/>
      <c r="B23" s="116"/>
      <c r="C23" s="116"/>
      <c r="D23" s="117"/>
      <c r="E23" s="118"/>
      <c r="F23" s="118"/>
      <c r="G23" s="118"/>
      <c r="H23" s="118"/>
      <c r="I23" s="117"/>
      <c r="J23" s="117"/>
      <c r="K23" s="117"/>
      <c r="L23" s="119"/>
      <c r="M23" s="120"/>
      <c r="O23" s="120"/>
    </row>
    <row r="24" spans="1:15" ht="70" customHeight="1" x14ac:dyDescent="0.2">
      <c r="A24" s="116"/>
      <c r="B24" s="116"/>
      <c r="C24" s="116"/>
      <c r="D24" s="117"/>
      <c r="E24" s="118"/>
      <c r="F24" s="118"/>
      <c r="G24" s="118"/>
      <c r="H24" s="118"/>
      <c r="I24" s="117"/>
      <c r="J24" s="117"/>
      <c r="K24" s="117"/>
      <c r="L24" s="119"/>
      <c r="M24" s="120"/>
      <c r="O24" s="120"/>
    </row>
    <row r="25" spans="1:15" ht="70" customHeight="1" x14ac:dyDescent="0.2">
      <c r="A25" s="116"/>
      <c r="B25" s="116"/>
      <c r="C25" s="116"/>
      <c r="D25" s="117"/>
      <c r="E25" s="118"/>
      <c r="F25" s="118"/>
      <c r="G25" s="118"/>
      <c r="H25" s="118"/>
      <c r="I25" s="117"/>
      <c r="J25" s="117"/>
      <c r="K25" s="117"/>
      <c r="L25" s="119"/>
      <c r="M25" s="120"/>
      <c r="O25" s="120"/>
    </row>
    <row r="26" spans="1:15" ht="70" customHeight="1" x14ac:dyDescent="0.2">
      <c r="A26" s="116"/>
      <c r="B26" s="116"/>
      <c r="C26" s="116"/>
      <c r="D26" s="117"/>
      <c r="E26" s="118"/>
      <c r="F26" s="118"/>
      <c r="G26" s="118"/>
      <c r="H26" s="118"/>
      <c r="I26" s="117"/>
      <c r="J26" s="117"/>
      <c r="K26" s="117"/>
      <c r="L26" s="119"/>
      <c r="M26" s="120"/>
      <c r="O26" s="120"/>
    </row>
    <row r="27" spans="1:15" ht="70" customHeight="1" x14ac:dyDescent="0.2">
      <c r="A27" s="116"/>
      <c r="B27" s="116"/>
      <c r="C27" s="116"/>
      <c r="D27" s="117"/>
      <c r="E27" s="118"/>
      <c r="F27" s="118"/>
      <c r="G27" s="118"/>
      <c r="H27" s="118"/>
      <c r="I27" s="117"/>
      <c r="J27" s="117"/>
      <c r="K27" s="117"/>
      <c r="L27" s="119"/>
      <c r="M27" s="120"/>
      <c r="O27" s="120"/>
    </row>
    <row r="28" spans="1:15" ht="70" customHeight="1" x14ac:dyDescent="0.2">
      <c r="A28" s="116"/>
      <c r="B28" s="116"/>
      <c r="C28" s="116"/>
      <c r="D28" s="117"/>
      <c r="E28" s="118"/>
      <c r="F28" s="118"/>
      <c r="G28" s="118"/>
      <c r="H28" s="118"/>
      <c r="I28" s="117"/>
      <c r="J28" s="117"/>
      <c r="K28" s="117"/>
      <c r="L28" s="119"/>
      <c r="M28" s="120"/>
      <c r="O28" s="120"/>
    </row>
    <row r="29" spans="1:15" ht="70" customHeight="1" x14ac:dyDescent="0.2">
      <c r="A29" s="116"/>
      <c r="B29" s="116"/>
      <c r="C29" s="116"/>
      <c r="D29" s="117"/>
      <c r="E29" s="118"/>
      <c r="F29" s="118"/>
      <c r="G29" s="118"/>
      <c r="H29" s="118"/>
      <c r="I29" s="117"/>
      <c r="J29" s="117"/>
      <c r="K29" s="117"/>
      <c r="L29" s="119"/>
      <c r="M29" s="120"/>
      <c r="O29" s="120"/>
    </row>
    <row r="30" spans="1:15" ht="70" customHeight="1" x14ac:dyDescent="0.2">
      <c r="A30" s="116"/>
      <c r="B30" s="116"/>
      <c r="C30" s="116"/>
      <c r="D30" s="117"/>
      <c r="E30" s="118"/>
      <c r="F30" s="118"/>
      <c r="G30" s="118"/>
      <c r="H30" s="118"/>
      <c r="I30" s="117"/>
      <c r="J30" s="117"/>
      <c r="K30" s="117"/>
      <c r="L30" s="119"/>
      <c r="M30" s="120"/>
      <c r="O30" s="120"/>
    </row>
    <row r="31" spans="1:15" ht="70" customHeight="1" x14ac:dyDescent="0.2">
      <c r="A31" s="116"/>
      <c r="B31" s="116"/>
      <c r="C31" s="116"/>
      <c r="D31" s="117"/>
      <c r="E31" s="118"/>
      <c r="F31" s="118"/>
      <c r="G31" s="118"/>
      <c r="H31" s="118"/>
      <c r="I31" s="117"/>
      <c r="J31" s="117"/>
      <c r="K31" s="117"/>
      <c r="L31" s="119"/>
      <c r="M31" s="120"/>
      <c r="O31" s="120"/>
    </row>
    <row r="32" spans="1:15" ht="70" customHeight="1" x14ac:dyDescent="0.2">
      <c r="A32" s="116"/>
      <c r="B32" s="116"/>
      <c r="C32" s="116"/>
      <c r="D32" s="117"/>
      <c r="E32" s="118"/>
      <c r="F32" s="118"/>
      <c r="G32" s="118"/>
      <c r="H32" s="118"/>
      <c r="I32" s="117"/>
      <c r="J32" s="117"/>
      <c r="K32" s="117"/>
      <c r="L32" s="119"/>
      <c r="M32" s="120"/>
      <c r="O32" s="120"/>
    </row>
  </sheetData>
  <conditionalFormatting sqref="A3:N12">
    <cfRule type="expression" dxfId="0" priority="9">
      <formula>$C3=TRUE</formula>
    </cfRule>
  </conditionalFormatting>
  <dataValidations count="5">
    <dataValidation type="list" allowBlank="1" showInputMessage="1" showErrorMessage="1" sqref="B13:C32 B3:B12" xr:uid="{4FB4118C-3B0E-1844-8420-1F6D3CCE6F26}">
      <formula1>"Not started,Fit check,Iterating,Final,On hold"</formula1>
    </dataValidation>
    <dataValidation type="list" allowBlank="1" showInputMessage="1" showErrorMessage="1" sqref="E3:E32" xr:uid="{986FA036-8A41-0147-BD46-124A319AB348}">
      <formula1>"PLA,PETG,ABS,TPU,Resin,Nylon"</formula1>
    </dataValidation>
    <dataValidation type="list" allowBlank="1" showInputMessage="1" showErrorMessage="1" sqref="G3:G32" xr:uid="{7EB761AA-E55D-C945-BFE3-28B436199555}">
      <formula1>"Yes,No"</formula1>
    </dataValidation>
    <dataValidation type="list" allowBlank="1" showInputMessage="1" showErrorMessage="1" sqref="H3:H32" xr:uid="{AFDDC7DF-9DD3-394F-94D3-E03A632B683F}">
      <formula1>"Tree,Normal,None"</formula1>
    </dataValidation>
    <dataValidation type="list" allowBlank="1" showInputMessage="1" showErrorMessage="1" sqref="F3:F32" xr:uid="{151010EA-9FDC-9543-84FC-21A89597EC58}">
      <formula1>"White,Black,Gold,Black+Gold,Any"</formula1>
    </dataValidation>
  </dataValidations>
  <hyperlinks>
    <hyperlink ref="N3" r:id="rId1" xr:uid="{0F4F63CA-12DD-0A46-A977-1AB0C8C489F9}"/>
    <hyperlink ref="N4" r:id="rId2" xr:uid="{1474B728-AE48-407D-BBE4-BF4B027AB102}"/>
    <hyperlink ref="N5" r:id="rId3" xr:uid="{D06409E8-716B-4F4C-A1C9-33B5BC2C8D17}"/>
    <hyperlink ref="N7" r:id="rId4" xr:uid="{1EFFE79C-76BD-40EF-AAB2-E9A0F563FE1C}"/>
    <hyperlink ref="N6" r:id="rId5" xr:uid="{5CE29FD4-8BEE-4493-9839-AB8225F81046}"/>
    <hyperlink ref="N8" r:id="rId6" xr:uid="{0C963169-54A4-4D07-BF7B-58204A04C7FB}"/>
    <hyperlink ref="N9" r:id="rId7" xr:uid="{192C35B0-0396-4310-B1C4-DA43E59CD84B}"/>
    <hyperlink ref="N10" r:id="rId8" xr:uid="{94E581BB-4692-4D9E-A74A-BEB1D01568FF}"/>
    <hyperlink ref="N11" r:id="rId9" xr:uid="{10673DCC-894B-4B9C-86B6-5D2E6CAD4B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5D00-948C-41E2-A713-446C13DBF62D}">
  <dimension ref="C4:O24"/>
  <sheetViews>
    <sheetView workbookViewId="0">
      <selection activeCell="J14" sqref="J14"/>
    </sheetView>
  </sheetViews>
  <sheetFormatPr baseColWidth="10" defaultColWidth="8.83203125" defaultRowHeight="15" x14ac:dyDescent="0.2"/>
  <cols>
    <col min="2" max="2" width="0" hidden="1" customWidth="1"/>
    <col min="3" max="3" width="27.83203125" customWidth="1"/>
    <col min="4" max="4" width="32.5" customWidth="1"/>
    <col min="6" max="6" width="14.1640625" customWidth="1"/>
    <col min="11" max="11" width="19.6640625" customWidth="1"/>
  </cols>
  <sheetData>
    <row r="4" spans="3:15" ht="28.5" customHeight="1" x14ac:dyDescent="0.2">
      <c r="C4" s="4" t="s">
        <v>1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255</v>
      </c>
      <c r="J4" s="4" t="s">
        <v>256</v>
      </c>
      <c r="K4" s="4" t="s">
        <v>257</v>
      </c>
      <c r="L4" s="4" t="s">
        <v>258</v>
      </c>
    </row>
    <row r="5" spans="3:15" ht="28.5" customHeight="1" x14ac:dyDescent="0.2">
      <c r="C5" s="5" t="s">
        <v>259</v>
      </c>
      <c r="D5" s="5" t="s">
        <v>260</v>
      </c>
      <c r="E5" s="5" t="s">
        <v>261</v>
      </c>
      <c r="F5" s="5" t="s">
        <v>262</v>
      </c>
      <c r="G5" s="5">
        <v>5</v>
      </c>
      <c r="H5" s="5">
        <v>45</v>
      </c>
      <c r="I5" s="5">
        <v>90</v>
      </c>
      <c r="J5" s="5"/>
      <c r="K5" s="5" t="s">
        <v>263</v>
      </c>
      <c r="L5" s="5" t="s">
        <v>264</v>
      </c>
    </row>
    <row r="6" spans="3:15" ht="28.5" customHeight="1" x14ac:dyDescent="0.2">
      <c r="C6" s="5" t="s">
        <v>265</v>
      </c>
      <c r="D6" s="5" t="s">
        <v>266</v>
      </c>
      <c r="E6" s="5" t="s">
        <v>267</v>
      </c>
      <c r="F6" s="5" t="s">
        <v>268</v>
      </c>
      <c r="G6" s="5">
        <v>0.02</v>
      </c>
      <c r="H6" s="5">
        <v>0.5</v>
      </c>
      <c r="I6" s="5">
        <v>1.5</v>
      </c>
      <c r="J6" s="5"/>
      <c r="K6" s="5" t="s">
        <v>269</v>
      </c>
      <c r="L6" s="5" t="s">
        <v>270</v>
      </c>
    </row>
    <row r="7" spans="3:15" ht="28.5" customHeight="1" x14ac:dyDescent="0.2">
      <c r="C7" s="5" t="s">
        <v>271</v>
      </c>
      <c r="D7" s="5" t="s">
        <v>272</v>
      </c>
      <c r="E7" s="5" t="s">
        <v>273</v>
      </c>
      <c r="F7" s="5" t="s">
        <v>274</v>
      </c>
      <c r="G7" s="5">
        <v>5</v>
      </c>
      <c r="H7" s="5">
        <v>50</v>
      </c>
      <c r="I7" s="5">
        <v>115</v>
      </c>
      <c r="J7" s="5"/>
      <c r="K7" s="5" t="s">
        <v>275</v>
      </c>
      <c r="L7" s="5" t="s">
        <v>276</v>
      </c>
    </row>
    <row r="8" spans="3:15" ht="28.5" customHeight="1" x14ac:dyDescent="0.2">
      <c r="C8" s="5" t="s">
        <v>277</v>
      </c>
      <c r="D8" s="5" t="s">
        <v>272</v>
      </c>
      <c r="E8" s="5" t="s">
        <v>273</v>
      </c>
      <c r="F8" s="5" t="s">
        <v>274</v>
      </c>
      <c r="G8" s="5">
        <v>5</v>
      </c>
      <c r="H8" s="5">
        <v>50</v>
      </c>
      <c r="I8" s="5">
        <v>115</v>
      </c>
      <c r="J8" s="5"/>
      <c r="K8" s="5" t="s">
        <v>275</v>
      </c>
      <c r="L8" s="5" t="s">
        <v>276</v>
      </c>
    </row>
    <row r="9" spans="3:15" ht="28.5" customHeight="1" x14ac:dyDescent="0.2">
      <c r="C9" s="5" t="s">
        <v>278</v>
      </c>
      <c r="D9" s="5" t="s">
        <v>272</v>
      </c>
      <c r="E9" s="5" t="s">
        <v>273</v>
      </c>
      <c r="F9" s="5" t="s">
        <v>274</v>
      </c>
      <c r="G9" s="5">
        <v>5</v>
      </c>
      <c r="H9" s="5">
        <v>50</v>
      </c>
      <c r="I9" s="5">
        <v>115</v>
      </c>
      <c r="J9" s="5"/>
      <c r="K9" s="5" t="s">
        <v>275</v>
      </c>
      <c r="L9" s="5" t="s">
        <v>276</v>
      </c>
    </row>
    <row r="10" spans="3:15" ht="28.5" customHeight="1" x14ac:dyDescent="0.2">
      <c r="C10" s="5" t="s">
        <v>279</v>
      </c>
      <c r="D10" s="5" t="s">
        <v>272</v>
      </c>
      <c r="E10" s="5" t="s">
        <v>273</v>
      </c>
      <c r="F10" s="5" t="s">
        <v>274</v>
      </c>
      <c r="G10" s="5">
        <v>5</v>
      </c>
      <c r="H10" s="5">
        <v>50</v>
      </c>
      <c r="I10" s="5">
        <v>115</v>
      </c>
      <c r="J10" s="5"/>
      <c r="K10" s="5" t="s">
        <v>275</v>
      </c>
      <c r="L10" s="5" t="s">
        <v>276</v>
      </c>
      <c r="O10" s="3"/>
    </row>
    <row r="11" spans="3:15" ht="28.5" customHeight="1" x14ac:dyDescent="0.2">
      <c r="C11" s="5" t="s">
        <v>280</v>
      </c>
      <c r="D11" s="5" t="s">
        <v>281</v>
      </c>
      <c r="E11" s="8" t="s">
        <v>282</v>
      </c>
      <c r="F11" s="5" t="s">
        <v>274</v>
      </c>
      <c r="G11" s="5">
        <v>1</v>
      </c>
      <c r="H11" s="5">
        <v>3</v>
      </c>
      <c r="I11" s="5">
        <v>5</v>
      </c>
      <c r="J11" s="5">
        <v>75</v>
      </c>
      <c r="K11" s="5" t="s">
        <v>283</v>
      </c>
      <c r="L11" s="5" t="s">
        <v>276</v>
      </c>
    </row>
    <row r="12" spans="3:15" ht="28.5" customHeight="1" x14ac:dyDescent="0.2">
      <c r="C12" s="5" t="s">
        <v>284</v>
      </c>
      <c r="D12" s="5" t="s">
        <v>281</v>
      </c>
      <c r="E12" s="8" t="s">
        <v>282</v>
      </c>
      <c r="F12" s="5" t="s">
        <v>274</v>
      </c>
      <c r="G12" s="5">
        <v>1</v>
      </c>
      <c r="H12" s="5">
        <v>3</v>
      </c>
      <c r="I12" s="5">
        <v>5</v>
      </c>
      <c r="J12" s="5">
        <v>75</v>
      </c>
      <c r="K12" s="5" t="s">
        <v>283</v>
      </c>
      <c r="L12" s="5" t="s">
        <v>276</v>
      </c>
    </row>
    <row r="13" spans="3:15" ht="28.5" customHeight="1" x14ac:dyDescent="0.2">
      <c r="C13" s="5" t="s">
        <v>285</v>
      </c>
      <c r="D13" s="5" t="s">
        <v>281</v>
      </c>
      <c r="E13" s="8" t="s">
        <v>282</v>
      </c>
      <c r="F13" s="5" t="s">
        <v>274</v>
      </c>
      <c r="G13" s="5">
        <v>1</v>
      </c>
      <c r="H13" s="5">
        <v>3</v>
      </c>
      <c r="I13" s="5">
        <v>5</v>
      </c>
      <c r="J13" s="5">
        <v>75</v>
      </c>
      <c r="K13" s="5" t="s">
        <v>283</v>
      </c>
      <c r="L13" s="5" t="s">
        <v>276</v>
      </c>
    </row>
    <row r="14" spans="3:15" ht="28.5" customHeight="1" x14ac:dyDescent="0.2">
      <c r="C14" s="5" t="s">
        <v>286</v>
      </c>
      <c r="D14" s="5" t="s">
        <v>281</v>
      </c>
      <c r="E14" s="8" t="s">
        <v>282</v>
      </c>
      <c r="F14" s="5" t="s">
        <v>274</v>
      </c>
      <c r="G14" s="5">
        <v>1</v>
      </c>
      <c r="H14" s="5">
        <v>3</v>
      </c>
      <c r="I14" s="5">
        <v>5</v>
      </c>
      <c r="J14" s="5"/>
      <c r="K14" s="5" t="s">
        <v>283</v>
      </c>
      <c r="L14" s="5" t="s">
        <v>276</v>
      </c>
    </row>
    <row r="15" spans="3:15" ht="28.5" customHeight="1" x14ac:dyDescent="0.2">
      <c r="C15" s="5" t="s">
        <v>287</v>
      </c>
      <c r="D15" s="5" t="s">
        <v>288</v>
      </c>
      <c r="E15" s="5" t="s">
        <v>289</v>
      </c>
      <c r="F15" s="5" t="s">
        <v>290</v>
      </c>
      <c r="G15" s="5">
        <v>1.5</v>
      </c>
      <c r="H15" s="5">
        <v>2.25</v>
      </c>
      <c r="I15" s="5">
        <v>3.25</v>
      </c>
      <c r="J15" s="5"/>
      <c r="K15" s="5" t="s">
        <v>291</v>
      </c>
      <c r="L15" s="5" t="s">
        <v>270</v>
      </c>
    </row>
    <row r="16" spans="3:15" ht="28.5" customHeight="1" x14ac:dyDescent="0.2">
      <c r="C16" s="5" t="s">
        <v>292</v>
      </c>
      <c r="D16" s="5" t="s">
        <v>293</v>
      </c>
      <c r="E16" s="5" t="s">
        <v>294</v>
      </c>
      <c r="F16" s="5" t="s">
        <v>295</v>
      </c>
      <c r="G16" s="5">
        <v>1</v>
      </c>
      <c r="H16" s="5">
        <v>2.1</v>
      </c>
      <c r="I16" s="5">
        <v>3.5</v>
      </c>
      <c r="J16" s="5"/>
      <c r="K16" s="5" t="s">
        <v>296</v>
      </c>
      <c r="L16" s="5" t="s">
        <v>270</v>
      </c>
    </row>
    <row r="17" spans="3:12" ht="28.5" customHeight="1" x14ac:dyDescent="0.2">
      <c r="C17" s="5" t="s">
        <v>297</v>
      </c>
      <c r="D17" s="5" t="s">
        <v>298</v>
      </c>
      <c r="E17" s="5" t="s">
        <v>294</v>
      </c>
      <c r="F17" s="5" t="s">
        <v>295</v>
      </c>
      <c r="G17" s="5">
        <v>0.5</v>
      </c>
      <c r="H17" s="5">
        <v>1.5</v>
      </c>
      <c r="I17" s="5">
        <v>2.5</v>
      </c>
      <c r="J17" s="5"/>
      <c r="K17" s="5" t="s">
        <v>299</v>
      </c>
      <c r="L17" s="5" t="s">
        <v>270</v>
      </c>
    </row>
    <row r="18" spans="3:12" ht="28.5" customHeight="1" x14ac:dyDescent="0.2">
      <c r="C18" s="5" t="s">
        <v>300</v>
      </c>
      <c r="D18" s="5" t="s">
        <v>301</v>
      </c>
      <c r="E18" s="5" t="s">
        <v>273</v>
      </c>
      <c r="F18" s="5" t="s">
        <v>302</v>
      </c>
      <c r="G18" s="5">
        <v>5</v>
      </c>
      <c r="H18" s="5">
        <v>30</v>
      </c>
      <c r="I18" s="5">
        <v>60</v>
      </c>
      <c r="J18" s="5"/>
      <c r="K18" s="5" t="s">
        <v>303</v>
      </c>
      <c r="L18" s="5" t="s">
        <v>304</v>
      </c>
    </row>
    <row r="19" spans="3:12" ht="28.5" customHeight="1" x14ac:dyDescent="0.2">
      <c r="C19" s="5" t="s">
        <v>305</v>
      </c>
      <c r="D19" s="5" t="s">
        <v>301</v>
      </c>
      <c r="E19" s="5" t="s">
        <v>273</v>
      </c>
      <c r="F19" s="5" t="s">
        <v>302</v>
      </c>
      <c r="G19" s="5">
        <v>5</v>
      </c>
      <c r="H19" s="5">
        <v>30</v>
      </c>
      <c r="I19" s="5">
        <v>60</v>
      </c>
      <c r="J19" s="5"/>
      <c r="K19" s="5" t="s">
        <v>303</v>
      </c>
      <c r="L19" s="5" t="s">
        <v>304</v>
      </c>
    </row>
    <row r="20" spans="3:12" x14ac:dyDescent="0.2">
      <c r="C20" s="6" t="s">
        <v>306</v>
      </c>
      <c r="D20" s="5"/>
      <c r="E20" s="5"/>
      <c r="F20" s="5"/>
      <c r="G20" s="6">
        <v>41</v>
      </c>
      <c r="H20" s="6">
        <f>SUM(H5:H19)</f>
        <v>323.35000000000002</v>
      </c>
      <c r="I20" s="6">
        <f>SUM(I5:I19)</f>
        <v>700.75</v>
      </c>
      <c r="J20" s="6"/>
      <c r="K20" s="5"/>
      <c r="L20" s="7"/>
    </row>
    <row r="23" spans="3:12" x14ac:dyDescent="0.2">
      <c r="C23" t="s">
        <v>307</v>
      </c>
      <c r="D23" t="s">
        <v>308</v>
      </c>
      <c r="E23" t="s">
        <v>309</v>
      </c>
      <c r="F23" t="s">
        <v>310</v>
      </c>
      <c r="G23" t="s">
        <v>311</v>
      </c>
      <c r="H23" t="s">
        <v>312</v>
      </c>
      <c r="I23" t="s">
        <v>313</v>
      </c>
      <c r="K23" t="s">
        <v>314</v>
      </c>
      <c r="L23" t="s">
        <v>315</v>
      </c>
    </row>
    <row r="24" spans="3:12" x14ac:dyDescent="0.2">
      <c r="C24" t="s">
        <v>316</v>
      </c>
      <c r="D24" t="s">
        <v>317</v>
      </c>
      <c r="E24" s="2" t="s">
        <v>318</v>
      </c>
    </row>
  </sheetData>
  <hyperlinks>
    <hyperlink ref="E24" r:id="rId1" xr:uid="{7894B143-F60A-4474-A190-86E6F0EDA9B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A3E5-A2AC-F844-A1EB-60A19D6CA9AF}">
  <dimension ref="A1:H29"/>
  <sheetViews>
    <sheetView workbookViewId="0">
      <selection activeCell="C36" sqref="C36"/>
    </sheetView>
  </sheetViews>
  <sheetFormatPr baseColWidth="10" defaultColWidth="11.5" defaultRowHeight="15" x14ac:dyDescent="0.2"/>
  <cols>
    <col min="1" max="1" width="78.5" bestFit="1" customWidth="1"/>
    <col min="2" max="2" width="6.6640625" bestFit="1" customWidth="1"/>
    <col min="3" max="3" width="14.5" bestFit="1" customWidth="1"/>
    <col min="5" max="5" width="14.33203125" bestFit="1" customWidth="1"/>
    <col min="6" max="6" width="11.33203125" bestFit="1" customWidth="1"/>
    <col min="7" max="7" width="34.5" bestFit="1" customWidth="1"/>
    <col min="8" max="8" width="23.5" bestFit="1" customWidth="1"/>
  </cols>
  <sheetData>
    <row r="1" spans="1:8" ht="19" x14ac:dyDescent="0.25">
      <c r="A1" s="18" t="s">
        <v>319</v>
      </c>
    </row>
    <row r="2" spans="1:8" ht="16" thickBot="1" x14ac:dyDescent="0.25"/>
    <row r="3" spans="1:8" x14ac:dyDescent="0.2">
      <c r="A3" s="24" t="s">
        <v>320</v>
      </c>
      <c r="B3" s="23" t="s">
        <v>321</v>
      </c>
      <c r="C3" s="23" t="s">
        <v>322</v>
      </c>
      <c r="D3" s="23" t="s">
        <v>323</v>
      </c>
      <c r="E3" s="23" t="s">
        <v>324</v>
      </c>
      <c r="F3" s="23" t="s">
        <v>325</v>
      </c>
      <c r="G3" s="23" t="s">
        <v>326</v>
      </c>
      <c r="H3" s="27" t="s">
        <v>327</v>
      </c>
    </row>
    <row r="4" spans="1:8" x14ac:dyDescent="0.2">
      <c r="A4" s="28">
        <v>26</v>
      </c>
      <c r="B4" s="29">
        <v>0.128</v>
      </c>
      <c r="C4" s="30">
        <v>2.2000000000000002</v>
      </c>
      <c r="D4" s="31">
        <v>2</v>
      </c>
      <c r="E4" s="32">
        <v>0.13389999999999999</v>
      </c>
      <c r="F4" s="30">
        <v>1.1000000000000001</v>
      </c>
      <c r="G4" s="39" t="s">
        <v>328</v>
      </c>
      <c r="H4" s="33" t="s">
        <v>329</v>
      </c>
    </row>
    <row r="5" spans="1:8" x14ac:dyDescent="0.2">
      <c r="A5" s="25">
        <v>24</v>
      </c>
      <c r="B5" s="19">
        <v>0.20499999999999999</v>
      </c>
      <c r="C5" s="20">
        <v>3.5</v>
      </c>
      <c r="D5" s="21">
        <v>3</v>
      </c>
      <c r="E5" s="22">
        <v>8.4199999999999997E-2</v>
      </c>
      <c r="F5" s="20">
        <v>1.8</v>
      </c>
      <c r="G5" s="26" t="s">
        <v>330</v>
      </c>
      <c r="H5" s="38" t="s">
        <v>331</v>
      </c>
    </row>
    <row r="6" spans="1:8" x14ac:dyDescent="0.2">
      <c r="A6" s="28">
        <v>22</v>
      </c>
      <c r="B6" s="29">
        <v>0.32700000000000001</v>
      </c>
      <c r="C6" s="30">
        <v>7</v>
      </c>
      <c r="D6" s="31">
        <v>5</v>
      </c>
      <c r="E6" s="32">
        <v>5.2900000000000003E-2</v>
      </c>
      <c r="F6" s="30">
        <v>2.9</v>
      </c>
      <c r="G6" s="39" t="s">
        <v>332</v>
      </c>
      <c r="H6" s="33" t="s">
        <v>333</v>
      </c>
    </row>
    <row r="7" spans="1:8" x14ac:dyDescent="0.2">
      <c r="A7" s="25">
        <v>20</v>
      </c>
      <c r="B7" s="19">
        <v>0.51900000000000002</v>
      </c>
      <c r="C7" s="20">
        <v>11</v>
      </c>
      <c r="D7" s="21">
        <v>10</v>
      </c>
      <c r="E7" s="22">
        <v>3.3300000000000003E-2</v>
      </c>
      <c r="F7" s="20">
        <v>4.5999999999999996</v>
      </c>
      <c r="G7" s="26" t="s">
        <v>334</v>
      </c>
      <c r="H7" s="38" t="s">
        <v>335</v>
      </c>
    </row>
    <row r="8" spans="1:8" x14ac:dyDescent="0.2">
      <c r="A8" s="28">
        <v>18</v>
      </c>
      <c r="B8" s="29">
        <v>0.82299999999999995</v>
      </c>
      <c r="C8" s="30">
        <v>16</v>
      </c>
      <c r="D8" s="31">
        <v>15</v>
      </c>
      <c r="E8" s="32">
        <v>2.0899999999999998E-2</v>
      </c>
      <c r="F8" s="30">
        <v>7.3</v>
      </c>
      <c r="G8" s="39" t="s">
        <v>336</v>
      </c>
      <c r="H8" s="33" t="s">
        <v>337</v>
      </c>
    </row>
    <row r="9" spans="1:8" x14ac:dyDescent="0.2">
      <c r="A9" s="25">
        <v>16</v>
      </c>
      <c r="B9" s="19">
        <v>1.31</v>
      </c>
      <c r="C9" s="20">
        <v>22</v>
      </c>
      <c r="D9" s="21">
        <v>20</v>
      </c>
      <c r="E9" s="22">
        <v>1.32E-2</v>
      </c>
      <c r="F9" s="20">
        <v>11.6</v>
      </c>
      <c r="G9" s="26" t="s">
        <v>338</v>
      </c>
      <c r="H9" s="38" t="s">
        <v>339</v>
      </c>
    </row>
    <row r="10" spans="1:8" x14ac:dyDescent="0.2">
      <c r="A10" s="28">
        <v>14</v>
      </c>
      <c r="B10" s="29">
        <v>2.08</v>
      </c>
      <c r="C10" s="30">
        <v>32</v>
      </c>
      <c r="D10" s="31">
        <v>30</v>
      </c>
      <c r="E10" s="50">
        <v>8.2799999999999992E-3</v>
      </c>
      <c r="F10" s="30">
        <v>18.5</v>
      </c>
      <c r="G10" s="39" t="s">
        <v>340</v>
      </c>
      <c r="H10" s="33" t="s">
        <v>341</v>
      </c>
    </row>
    <row r="11" spans="1:8" x14ac:dyDescent="0.2">
      <c r="A11" s="25">
        <v>12</v>
      </c>
      <c r="B11" s="19">
        <v>3.31</v>
      </c>
      <c r="C11" s="20">
        <v>41</v>
      </c>
      <c r="D11" s="21">
        <v>40</v>
      </c>
      <c r="E11" s="51">
        <v>5.2100000000000002E-3</v>
      </c>
      <c r="F11" s="20">
        <v>29.4</v>
      </c>
      <c r="G11" s="26" t="s">
        <v>342</v>
      </c>
      <c r="H11" s="38" t="s">
        <v>343</v>
      </c>
    </row>
    <row r="12" spans="1:8" x14ac:dyDescent="0.2">
      <c r="A12" s="28">
        <v>10</v>
      </c>
      <c r="B12" s="29">
        <v>5.26</v>
      </c>
      <c r="C12" s="30">
        <v>55</v>
      </c>
      <c r="D12" s="31">
        <v>50</v>
      </c>
      <c r="E12" s="50">
        <v>3.2799999999999999E-3</v>
      </c>
      <c r="F12" s="30">
        <v>46.8</v>
      </c>
      <c r="G12" s="39" t="s">
        <v>344</v>
      </c>
      <c r="H12" s="33" t="s">
        <v>345</v>
      </c>
    </row>
    <row r="13" spans="1:8" x14ac:dyDescent="0.2">
      <c r="A13" s="25">
        <v>8</v>
      </c>
      <c r="B13" s="19">
        <v>8.3699999999999992</v>
      </c>
      <c r="C13" s="20">
        <v>73</v>
      </c>
      <c r="D13" s="21">
        <v>70</v>
      </c>
      <c r="E13" s="51">
        <v>2.0600000000000002E-3</v>
      </c>
      <c r="F13" s="20">
        <v>74.400000000000006</v>
      </c>
      <c r="G13" s="26" t="s">
        <v>346</v>
      </c>
      <c r="H13" s="38" t="s">
        <v>347</v>
      </c>
    </row>
    <row r="14" spans="1:8" x14ac:dyDescent="0.2">
      <c r="A14" s="28">
        <v>6</v>
      </c>
      <c r="B14" s="29">
        <v>13.3</v>
      </c>
      <c r="C14" s="30">
        <v>101</v>
      </c>
      <c r="D14" s="31">
        <v>100</v>
      </c>
      <c r="E14" s="50">
        <v>1.2999999999999999E-3</v>
      </c>
      <c r="F14" s="30">
        <v>118</v>
      </c>
      <c r="G14" s="39" t="s">
        <v>348</v>
      </c>
      <c r="H14" s="33" t="s">
        <v>347</v>
      </c>
    </row>
    <row r="15" spans="1:8" x14ac:dyDescent="0.2">
      <c r="A15" s="45">
        <v>4</v>
      </c>
      <c r="B15" s="35">
        <v>21.1</v>
      </c>
      <c r="C15" s="36">
        <v>135</v>
      </c>
      <c r="D15" s="37">
        <v>125</v>
      </c>
      <c r="E15" s="52">
        <v>8.1499999999999997E-4</v>
      </c>
      <c r="F15" s="36">
        <v>188</v>
      </c>
      <c r="G15" s="40" t="s">
        <v>349</v>
      </c>
      <c r="H15" s="38" t="s">
        <v>350</v>
      </c>
    </row>
    <row r="16" spans="1:8" x14ac:dyDescent="0.2">
      <c r="A16" s="28">
        <v>2</v>
      </c>
      <c r="B16" s="29">
        <v>33.6</v>
      </c>
      <c r="C16" s="30">
        <v>181</v>
      </c>
      <c r="D16" s="31">
        <v>175</v>
      </c>
      <c r="E16" s="53">
        <v>5.13E-4</v>
      </c>
      <c r="F16" s="30">
        <v>299</v>
      </c>
      <c r="G16" s="39" t="s">
        <v>351</v>
      </c>
      <c r="H16" s="33" t="s">
        <v>352</v>
      </c>
    </row>
    <row r="17" spans="1:8" x14ac:dyDescent="0.2">
      <c r="A17" s="46">
        <v>1</v>
      </c>
      <c r="B17" s="35">
        <v>42.4</v>
      </c>
      <c r="C17" s="36">
        <v>211</v>
      </c>
      <c r="D17" s="37">
        <v>200</v>
      </c>
      <c r="E17" s="52">
        <v>4.06E-4</v>
      </c>
      <c r="F17" s="36">
        <v>377</v>
      </c>
      <c r="G17" s="40" t="s">
        <v>353</v>
      </c>
      <c r="H17" s="38" t="s">
        <v>354</v>
      </c>
    </row>
    <row r="18" spans="1:8" x14ac:dyDescent="0.2">
      <c r="A18" s="47" t="s">
        <v>355</v>
      </c>
      <c r="B18" s="29">
        <v>53.5</v>
      </c>
      <c r="C18" s="30">
        <v>245</v>
      </c>
      <c r="D18" s="31">
        <v>225</v>
      </c>
      <c r="E18" s="53">
        <v>3.2200000000000002E-4</v>
      </c>
      <c r="F18" s="30">
        <v>475</v>
      </c>
      <c r="G18" s="39" t="s">
        <v>356</v>
      </c>
      <c r="H18" s="33" t="s">
        <v>354</v>
      </c>
    </row>
    <row r="19" spans="1:8" x14ac:dyDescent="0.2">
      <c r="A19" s="46" t="s">
        <v>357</v>
      </c>
      <c r="B19" s="35">
        <v>67.400000000000006</v>
      </c>
      <c r="C19" s="36">
        <v>283</v>
      </c>
      <c r="D19" s="37">
        <v>250</v>
      </c>
      <c r="E19" s="52">
        <v>2.5599999999999999E-4</v>
      </c>
      <c r="F19" s="36">
        <v>599</v>
      </c>
      <c r="G19" s="40" t="s">
        <v>358</v>
      </c>
      <c r="H19" s="38" t="s">
        <v>359</v>
      </c>
    </row>
    <row r="20" spans="1:8" ht="16" thickBot="1" x14ac:dyDescent="0.25">
      <c r="A20" s="48" t="s">
        <v>360</v>
      </c>
      <c r="B20" s="41">
        <v>84.9</v>
      </c>
      <c r="C20" s="42">
        <v>328</v>
      </c>
      <c r="D20" s="43">
        <v>300</v>
      </c>
      <c r="E20" s="54">
        <v>2.03E-4</v>
      </c>
      <c r="F20" s="42">
        <v>756</v>
      </c>
      <c r="G20" s="44" t="s">
        <v>361</v>
      </c>
      <c r="H20" s="49" t="s">
        <v>362</v>
      </c>
    </row>
    <row r="22" spans="1:8" x14ac:dyDescent="0.2">
      <c r="A22" s="34" t="s">
        <v>363</v>
      </c>
    </row>
    <row r="23" spans="1:8" x14ac:dyDescent="0.2">
      <c r="A23" t="s">
        <v>364</v>
      </c>
    </row>
    <row r="24" spans="1:8" x14ac:dyDescent="0.2">
      <c r="A24" t="s">
        <v>365</v>
      </c>
    </row>
    <row r="25" spans="1:8" x14ac:dyDescent="0.2">
      <c r="A25" t="s">
        <v>366</v>
      </c>
    </row>
    <row r="29" spans="1:8" x14ac:dyDescent="0.2">
      <c r="A29" s="2" t="s">
        <v>367</v>
      </c>
    </row>
  </sheetData>
  <hyperlinks>
    <hyperlink ref="A29" r:id="rId1" xr:uid="{6FBB0A7D-4D88-934D-90D6-0739BAEC76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BUYSheet</vt:lpstr>
      <vt:lpstr>ToDo</vt:lpstr>
      <vt:lpstr>3D Printing</vt:lpstr>
      <vt:lpstr>ElectricalPower</vt:lpstr>
      <vt:lpstr>Wire dimentsions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Phillipp Herbert Josef Gery</cp:lastModifiedBy>
  <cp:revision/>
  <dcterms:created xsi:type="dcterms:W3CDTF">2026-06-21T16:47:57Z</dcterms:created>
  <dcterms:modified xsi:type="dcterms:W3CDTF">2026-08-05T14:53:39Z</dcterms:modified>
  <cp:category/>
  <cp:contentStatus/>
</cp:coreProperties>
</file>